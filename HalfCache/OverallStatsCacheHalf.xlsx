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b\OneDrive\Documents\Thesis\HalfCache\"/>
    </mc:Choice>
  </mc:AlternateContent>
  <xr:revisionPtr revIDLastSave="0" documentId="13_ncr:1_{B9E642F8-9E4A-4A6A-A98B-14FE44A0C792}" xr6:coauthVersionLast="47" xr6:coauthVersionMax="47" xr10:uidLastSave="{00000000-0000-0000-0000-000000000000}"/>
  <bookViews>
    <workbookView xWindow="-110" yWindow="-110" windowWidth="38620" windowHeight="21100" xr2:uid="{84A3B88E-B226-40B3-A64E-0FDCC502A4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J9" i="1"/>
  <c r="H4" i="1"/>
  <c r="I4" i="1"/>
  <c r="J4" i="1"/>
  <c r="K4" i="1"/>
  <c r="H5" i="1"/>
  <c r="I5" i="1"/>
  <c r="J5" i="1"/>
  <c r="K5" i="1"/>
  <c r="H6" i="1"/>
  <c r="I6" i="1"/>
  <c r="J6" i="1"/>
  <c r="K6" i="1"/>
  <c r="H7" i="1"/>
  <c r="I7" i="1"/>
  <c r="J7" i="1"/>
  <c r="K7" i="1"/>
  <c r="H8" i="1"/>
  <c r="I8" i="1"/>
  <c r="J8" i="1" s="1"/>
  <c r="K8" i="1"/>
  <c r="H9" i="1"/>
  <c r="K9" i="1"/>
  <c r="H10" i="1"/>
  <c r="I10" i="1"/>
  <c r="J10" i="1"/>
  <c r="K10" i="1"/>
  <c r="H11" i="1"/>
  <c r="I11" i="1"/>
  <c r="J11" i="1"/>
  <c r="K11" i="1"/>
  <c r="H12" i="1"/>
  <c r="I12" i="1"/>
  <c r="J12" i="1"/>
  <c r="K12" i="1"/>
  <c r="H13" i="1"/>
  <c r="J13" i="1" s="1"/>
  <c r="I13" i="1"/>
  <c r="K13" i="1"/>
  <c r="K3" i="1"/>
  <c r="J3" i="1"/>
  <c r="I3" i="1"/>
  <c r="H3" i="1"/>
</calcChain>
</file>

<file path=xl/sharedStrings.xml><?xml version="1.0" encoding="utf-8"?>
<sst xmlns="http://schemas.openxmlformats.org/spreadsheetml/2006/main" count="35" uniqueCount="35">
  <si>
    <t>HalfCache</t>
  </si>
  <si>
    <t>Program</t>
  </si>
  <si>
    <t>Nu: 0.7, Gamma: 0.7</t>
  </si>
  <si>
    <t>Nu: 0.0002, Gamma: 0.9</t>
  </si>
  <si>
    <t>Blackscholes</t>
  </si>
  <si>
    <t>Bodytrack</t>
  </si>
  <si>
    <t>Nu: 0.9, Gamma: 0.0001</t>
  </si>
  <si>
    <t>Canneal</t>
  </si>
  <si>
    <t>Nu: 0.1, Gamma: 0.7</t>
  </si>
  <si>
    <t>Facesim</t>
  </si>
  <si>
    <t>Nu: 0.0001, Gamma: 0.9</t>
  </si>
  <si>
    <t>Ferret</t>
  </si>
  <si>
    <t>Nu: 0.99, Gamma: 0.1</t>
  </si>
  <si>
    <t>Freqmine</t>
  </si>
  <si>
    <t>Nu: 0.9, Gamma: 0.9</t>
  </si>
  <si>
    <t>Raytrace</t>
  </si>
  <si>
    <t>Nu: 0.5, Gamma: 0.9</t>
  </si>
  <si>
    <t>Streamcluster</t>
  </si>
  <si>
    <t>Nu: 0.2, Gamma: 0.99</t>
  </si>
  <si>
    <t>Swaptions</t>
  </si>
  <si>
    <t>Nu: 0.0001, Gamma: 0.0001</t>
  </si>
  <si>
    <t>Vips</t>
  </si>
  <si>
    <t>Nu: 0.05, Gamma: 0.5</t>
  </si>
  <si>
    <t>X264</t>
  </si>
  <si>
    <t>TP</t>
  </si>
  <si>
    <t>FP</t>
  </si>
  <si>
    <t>FN</t>
  </si>
  <si>
    <t>TN</t>
  </si>
  <si>
    <t>ACC (%)</t>
  </si>
  <si>
    <t>Noise Percantages</t>
  </si>
  <si>
    <t>Upsampling</t>
  </si>
  <si>
    <t>Precision</t>
  </si>
  <si>
    <t>Recall</t>
  </si>
  <si>
    <t>F1-Score</t>
  </si>
  <si>
    <t>Specificity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</si>
</sst>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EE7E4-9A64-4328-97BF-22E9AA604A6A}">
  <dimension ref="A1:M13"/>
  <sheetViews>
    <sheetView tabSelected="1" workbookViewId="0">
      <selection activeCell="S10" sqref="S10"/>
    </sheetView>
  </sheetViews>
  <sheetFormatPr defaultRowHeight="14.5" x14ac:dyDescent="0.35"/>
  <cols>
    <col min="1" max="1" width="34.36328125" customWidth="1"/>
    <col min="2" max="2" width="21.7265625" customWidth="1"/>
    <col min="7" max="7" width="22.26953125" customWidth="1"/>
    <col min="11" max="11" width="14.7265625" customWidth="1"/>
  </cols>
  <sheetData>
    <row r="1" spans="1:13" x14ac:dyDescent="0.35">
      <c r="A1" t="s">
        <v>0</v>
      </c>
    </row>
    <row r="2" spans="1:13" x14ac:dyDescent="0.35">
      <c r="A2" t="s">
        <v>1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31</v>
      </c>
      <c r="I2" t="s">
        <v>32</v>
      </c>
      <c r="J2" t="s">
        <v>33</v>
      </c>
      <c r="K2" t="s">
        <v>34</v>
      </c>
      <c r="L2" t="s">
        <v>29</v>
      </c>
      <c r="M2" t="s">
        <v>30</v>
      </c>
    </row>
    <row r="3" spans="1:13" x14ac:dyDescent="0.35">
      <c r="A3" t="s">
        <v>4</v>
      </c>
      <c r="B3" t="s">
        <v>2</v>
      </c>
      <c r="C3">
        <v>1</v>
      </c>
      <c r="D3">
        <v>1</v>
      </c>
      <c r="E3">
        <v>1</v>
      </c>
      <c r="F3">
        <v>18</v>
      </c>
      <c r="G3">
        <v>90.47619048</v>
      </c>
      <c r="H3">
        <f>(C3)/(C3+D3)</f>
        <v>0.5</v>
      </c>
      <c r="I3">
        <f>C3/(C3+E3)</f>
        <v>0.5</v>
      </c>
      <c r="J3">
        <f>(2*(H3*I3))/(H3+I3)</f>
        <v>0.5</v>
      </c>
      <c r="K3">
        <f>F3/(F3+D3)</f>
        <v>0.94736842105263153</v>
      </c>
      <c r="L3">
        <v>10</v>
      </c>
      <c r="M3">
        <v>40</v>
      </c>
    </row>
    <row r="4" spans="1:13" x14ac:dyDescent="0.35">
      <c r="A4" t="s">
        <v>5</v>
      </c>
      <c r="B4" t="s">
        <v>3</v>
      </c>
      <c r="C4">
        <v>3</v>
      </c>
      <c r="D4">
        <v>1</v>
      </c>
      <c r="E4">
        <v>0</v>
      </c>
      <c r="F4">
        <v>46</v>
      </c>
      <c r="G4">
        <v>98</v>
      </c>
      <c r="H4">
        <f t="shared" ref="H4:H13" si="0">(C4)/(C4+D4)</f>
        <v>0.75</v>
      </c>
      <c r="I4">
        <f t="shared" ref="I4:I13" si="1">C4/(C4+E4)</f>
        <v>1</v>
      </c>
      <c r="J4">
        <f t="shared" ref="J4:J13" si="2">(2*(H4*I4))/(H4+I4)</f>
        <v>0.8571428571428571</v>
      </c>
      <c r="K4">
        <f t="shared" ref="K4:K13" si="3">F4/(F4+D4)</f>
        <v>0.97872340425531912</v>
      </c>
      <c r="L4">
        <v>0</v>
      </c>
      <c r="M4">
        <v>40</v>
      </c>
    </row>
    <row r="5" spans="1:13" x14ac:dyDescent="0.35">
      <c r="A5" t="s">
        <v>7</v>
      </c>
      <c r="B5" t="s">
        <v>6</v>
      </c>
      <c r="C5">
        <v>1</v>
      </c>
      <c r="D5">
        <v>5</v>
      </c>
      <c r="E5">
        <v>2</v>
      </c>
      <c r="F5">
        <v>43</v>
      </c>
      <c r="G5">
        <v>86.274509800000004</v>
      </c>
      <c r="H5">
        <f t="shared" si="0"/>
        <v>0.16666666666666666</v>
      </c>
      <c r="I5">
        <f t="shared" si="1"/>
        <v>0.33333333333333331</v>
      </c>
      <c r="J5">
        <f t="shared" si="2"/>
        <v>0.22222222222222221</v>
      </c>
      <c r="K5">
        <f t="shared" si="3"/>
        <v>0.89583333333333337</v>
      </c>
      <c r="L5">
        <v>10</v>
      </c>
      <c r="M5">
        <v>40</v>
      </c>
    </row>
    <row r="6" spans="1:13" x14ac:dyDescent="0.35">
      <c r="A6" t="s">
        <v>9</v>
      </c>
      <c r="B6" t="s">
        <v>8</v>
      </c>
      <c r="C6">
        <v>23</v>
      </c>
      <c r="D6">
        <v>1</v>
      </c>
      <c r="E6">
        <v>0</v>
      </c>
      <c r="F6">
        <v>1211</v>
      </c>
      <c r="G6">
        <v>99.919028339999997</v>
      </c>
      <c r="H6">
        <f t="shared" si="0"/>
        <v>0.95833333333333337</v>
      </c>
      <c r="I6">
        <f t="shared" si="1"/>
        <v>1</v>
      </c>
      <c r="J6">
        <f t="shared" si="2"/>
        <v>0.97872340425531912</v>
      </c>
      <c r="K6">
        <f t="shared" si="3"/>
        <v>0.99917491749174914</v>
      </c>
      <c r="L6">
        <v>10</v>
      </c>
      <c r="M6">
        <v>40</v>
      </c>
    </row>
    <row r="7" spans="1:13" x14ac:dyDescent="0.35">
      <c r="A7" t="s">
        <v>11</v>
      </c>
      <c r="B7" t="s">
        <v>10</v>
      </c>
      <c r="C7">
        <v>2</v>
      </c>
      <c r="D7">
        <v>2</v>
      </c>
      <c r="E7">
        <v>0</v>
      </c>
      <c r="F7">
        <v>133</v>
      </c>
      <c r="G7">
        <v>98.540145989999999</v>
      </c>
      <c r="H7">
        <f t="shared" si="0"/>
        <v>0.5</v>
      </c>
      <c r="I7">
        <f t="shared" si="1"/>
        <v>1</v>
      </c>
      <c r="J7">
        <f t="shared" si="2"/>
        <v>0.66666666666666663</v>
      </c>
      <c r="K7">
        <f t="shared" si="3"/>
        <v>0.98518518518518516</v>
      </c>
      <c r="L7">
        <v>0</v>
      </c>
      <c r="M7">
        <v>40</v>
      </c>
    </row>
    <row r="8" spans="1:13" x14ac:dyDescent="0.35">
      <c r="A8" t="s">
        <v>13</v>
      </c>
      <c r="B8" t="s">
        <v>12</v>
      </c>
      <c r="C8">
        <v>1</v>
      </c>
      <c r="D8">
        <v>15</v>
      </c>
      <c r="E8">
        <v>0</v>
      </c>
      <c r="F8">
        <v>208</v>
      </c>
      <c r="G8">
        <v>93.303571430000005</v>
      </c>
      <c r="H8">
        <f t="shared" si="0"/>
        <v>6.25E-2</v>
      </c>
      <c r="I8">
        <f t="shared" si="1"/>
        <v>1</v>
      </c>
      <c r="J8">
        <f t="shared" si="2"/>
        <v>0.11764705882352941</v>
      </c>
      <c r="K8">
        <f t="shared" si="3"/>
        <v>0.93273542600896864</v>
      </c>
      <c r="L8">
        <v>0</v>
      </c>
      <c r="M8">
        <v>40</v>
      </c>
    </row>
    <row r="9" spans="1:13" x14ac:dyDescent="0.35">
      <c r="A9" t="s">
        <v>15</v>
      </c>
      <c r="B9" t="s">
        <v>14</v>
      </c>
      <c r="C9">
        <v>0</v>
      </c>
      <c r="D9">
        <v>4</v>
      </c>
      <c r="E9">
        <v>0</v>
      </c>
      <c r="F9">
        <v>37</v>
      </c>
      <c r="G9">
        <v>90.243902439999999</v>
      </c>
      <c r="H9">
        <f t="shared" si="0"/>
        <v>0</v>
      </c>
      <c r="I9" t="e">
        <f>C9/(C9+E9)</f>
        <v>#DIV/0!</v>
      </c>
      <c r="J9" t="e">
        <f>(2*(H9*I9))/(H9+I9)</f>
        <v>#DIV/0!</v>
      </c>
      <c r="K9">
        <f t="shared" si="3"/>
        <v>0.90243902439024393</v>
      </c>
      <c r="L9">
        <v>10</v>
      </c>
      <c r="M9">
        <v>40</v>
      </c>
    </row>
    <row r="10" spans="1:13" x14ac:dyDescent="0.35">
      <c r="A10" t="s">
        <v>17</v>
      </c>
      <c r="B10" t="s">
        <v>16</v>
      </c>
      <c r="C10">
        <v>8</v>
      </c>
      <c r="D10">
        <v>4</v>
      </c>
      <c r="E10">
        <v>0</v>
      </c>
      <c r="F10">
        <v>231</v>
      </c>
      <c r="G10">
        <v>98.353909470000005</v>
      </c>
      <c r="H10">
        <f t="shared" si="0"/>
        <v>0.66666666666666663</v>
      </c>
      <c r="I10">
        <f t="shared" si="1"/>
        <v>1</v>
      </c>
      <c r="J10">
        <f t="shared" si="2"/>
        <v>0.8</v>
      </c>
      <c r="K10">
        <f t="shared" si="3"/>
        <v>0.98297872340425529</v>
      </c>
      <c r="L10">
        <v>10</v>
      </c>
      <c r="M10">
        <v>40</v>
      </c>
    </row>
    <row r="11" spans="1:13" x14ac:dyDescent="0.35">
      <c r="A11" t="s">
        <v>19</v>
      </c>
      <c r="B11" t="s">
        <v>18</v>
      </c>
      <c r="C11">
        <v>3</v>
      </c>
      <c r="D11">
        <v>2</v>
      </c>
      <c r="E11">
        <v>0</v>
      </c>
      <c r="F11">
        <v>48</v>
      </c>
      <c r="G11">
        <v>96.226415090000003</v>
      </c>
      <c r="H11">
        <f t="shared" si="0"/>
        <v>0.6</v>
      </c>
      <c r="I11">
        <f t="shared" si="1"/>
        <v>1</v>
      </c>
      <c r="J11">
        <f t="shared" si="2"/>
        <v>0.74999999999999989</v>
      </c>
      <c r="K11">
        <f t="shared" si="3"/>
        <v>0.96</v>
      </c>
      <c r="L11">
        <v>10</v>
      </c>
      <c r="M11">
        <v>40</v>
      </c>
    </row>
    <row r="12" spans="1:13" x14ac:dyDescent="0.35">
      <c r="A12" t="s">
        <v>21</v>
      </c>
      <c r="B12" t="s">
        <v>20</v>
      </c>
      <c r="C12">
        <v>0</v>
      </c>
      <c r="D12">
        <v>12</v>
      </c>
      <c r="E12">
        <v>0</v>
      </c>
      <c r="F12">
        <v>130</v>
      </c>
      <c r="G12">
        <v>91.549295770000001</v>
      </c>
      <c r="H12">
        <f t="shared" si="0"/>
        <v>0</v>
      </c>
      <c r="I12" t="e">
        <f t="shared" si="1"/>
        <v>#DIV/0!</v>
      </c>
      <c r="J12" t="e">
        <f t="shared" si="2"/>
        <v>#DIV/0!</v>
      </c>
      <c r="K12">
        <f t="shared" si="3"/>
        <v>0.91549295774647887</v>
      </c>
      <c r="L12">
        <v>0</v>
      </c>
      <c r="M12">
        <v>40</v>
      </c>
    </row>
    <row r="13" spans="1:13" x14ac:dyDescent="0.35">
      <c r="A13" t="s">
        <v>23</v>
      </c>
      <c r="B13" t="s">
        <v>22</v>
      </c>
      <c r="C13">
        <v>464</v>
      </c>
      <c r="D13">
        <v>38</v>
      </c>
      <c r="E13">
        <v>47</v>
      </c>
      <c r="F13">
        <v>4971</v>
      </c>
      <c r="G13">
        <v>98.460144929999998</v>
      </c>
      <c r="H13">
        <f t="shared" si="0"/>
        <v>0.92430278884462147</v>
      </c>
      <c r="I13">
        <f t="shared" si="1"/>
        <v>0.90802348336594907</v>
      </c>
      <c r="J13">
        <f t="shared" si="2"/>
        <v>0.91609081934846981</v>
      </c>
      <c r="K13">
        <f t="shared" si="3"/>
        <v>0.99241365542024351</v>
      </c>
      <c r="L13">
        <v>0</v>
      </c>
      <c r="M13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Beekman (RIT Student)</dc:creator>
  <cp:lastModifiedBy>Alex Beekman (RIT Student)</cp:lastModifiedBy>
  <dcterms:created xsi:type="dcterms:W3CDTF">2025-01-29T01:13:17Z</dcterms:created>
  <dcterms:modified xsi:type="dcterms:W3CDTF">2025-01-29T01:34:47Z</dcterms:modified>
</cp:coreProperties>
</file>