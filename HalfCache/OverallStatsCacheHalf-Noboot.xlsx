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HalfCache\"/>
    </mc:Choice>
  </mc:AlternateContent>
  <xr:revisionPtr revIDLastSave="0" documentId="13_ncr:1_{33A666A0-090A-4234-99AD-A7C3C1E3F181}" xr6:coauthVersionLast="47" xr6:coauthVersionMax="47" xr10:uidLastSave="{00000000-0000-0000-0000-000000000000}"/>
  <bookViews>
    <workbookView xWindow="5580" yWindow="4270" windowWidth="28800" windowHeight="14460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N9" i="1" s="1"/>
  <c r="K10" i="1"/>
  <c r="N10" i="1" s="1"/>
  <c r="K11" i="1"/>
  <c r="K12" i="1"/>
  <c r="N12" i="1" s="1"/>
  <c r="K13" i="1"/>
  <c r="N13" i="1" s="1"/>
  <c r="K3" i="1"/>
  <c r="I4" i="1"/>
  <c r="N4" i="1" s="1"/>
  <c r="I5" i="1"/>
  <c r="N5" i="1" s="1"/>
  <c r="I6" i="1"/>
  <c r="N6" i="1" s="1"/>
  <c r="I7" i="1"/>
  <c r="N7" i="1" s="1"/>
  <c r="I8" i="1"/>
  <c r="N8" i="1" s="1"/>
  <c r="I9" i="1"/>
  <c r="I10" i="1"/>
  <c r="I11" i="1"/>
  <c r="N11" i="1" s="1"/>
  <c r="I12" i="1"/>
  <c r="I13" i="1"/>
  <c r="H4" i="1"/>
  <c r="H5" i="1"/>
  <c r="H6" i="1"/>
  <c r="H7" i="1"/>
  <c r="H8" i="1"/>
  <c r="H9" i="1"/>
  <c r="H10" i="1"/>
  <c r="H11" i="1"/>
  <c r="H12" i="1"/>
  <c r="H13" i="1"/>
  <c r="I3" i="1"/>
  <c r="N3" i="1" s="1"/>
  <c r="H3" i="1"/>
  <c r="J3" i="1" s="1"/>
  <c r="J12" i="1" l="1"/>
  <c r="J11" i="1"/>
  <c r="J5" i="1"/>
  <c r="J8" i="1"/>
  <c r="J10" i="1"/>
  <c r="J9" i="1"/>
  <c r="J13" i="1"/>
  <c r="J4" i="1"/>
  <c r="J7" i="1"/>
  <c r="J6" i="1"/>
</calcChain>
</file>

<file path=xl/sharedStrings.xml><?xml version="1.0" encoding="utf-8"?>
<sst xmlns="http://schemas.openxmlformats.org/spreadsheetml/2006/main" count="52" uniqueCount="36">
  <si>
    <t>HalfCache</t>
  </si>
  <si>
    <t>Program</t>
  </si>
  <si>
    <t>Nu: 0.0002, Gamma: 0.9</t>
  </si>
  <si>
    <t>Blackscholes</t>
  </si>
  <si>
    <t>Bodytrack</t>
  </si>
  <si>
    <t>Canneal</t>
  </si>
  <si>
    <t>Facesim</t>
  </si>
  <si>
    <t>Ferret</t>
  </si>
  <si>
    <t>Nu: 0.99, Gamma: 0.1</t>
  </si>
  <si>
    <t>Freqmine</t>
  </si>
  <si>
    <t>Raytrace</t>
  </si>
  <si>
    <t>Streamcluster</t>
  </si>
  <si>
    <t>Swaptions</t>
  </si>
  <si>
    <t>Nu: 0.0001, Gamma: 0.0001</t>
  </si>
  <si>
    <t>Vips</t>
  </si>
  <si>
    <t>Nu: 0.05, Gamma: 0.5</t>
  </si>
  <si>
    <t>X264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</si>
  <si>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</si>
  <si>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</si>
  <si>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</si>
  <si>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</si>
  <si>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</si>
  <si>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</si>
  <si>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</si>
  <si>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</si>
  <si>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</si>
  <si>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</si>
  <si>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</si>
  <si>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Nu: 0.7, Gamma: 0.99</t>
  </si>
  <si>
    <t>Nu: 0.9, Gamma: 0.0002</t>
  </si>
  <si>
    <t>Nu: 0.0625, Gamma: 0.7</t>
  </si>
  <si>
    <t>Nu: 0.9, Gamma: 0.7</t>
  </si>
  <si>
    <t>Nu: 0.2, Gamma: 0.9</t>
  </si>
  <si>
    <t>Nu: 0.5, Gamma: 0.7</t>
  </si>
  <si>
    <t>Accuracy (%)</t>
  </si>
  <si>
    <t>Balanced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</si>
</sst>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N34"/>
  <sheetViews>
    <sheetView tabSelected="1" topLeftCell="A7" workbookViewId="0">
      <selection activeCell="N20" sqref="N20"/>
    </sheetView>
  </sheetViews>
  <sheetFormatPr defaultRowHeight="14.5" x14ac:dyDescent="0.35"/>
  <cols>
    <col min="1" max="1" width="34.36328125" customWidth="1"/>
    <col min="2" max="2" width="21.81640625" customWidth="1"/>
    <col min="7" max="7" width="22.1796875" customWidth="1"/>
    <col min="11" max="11" width="14.81640625" customWidth="1"/>
  </cols>
  <sheetData>
    <row r="1" spans="1:14" x14ac:dyDescent="0.35">
      <c r="A1" t="s">
        <v>0</v>
      </c>
    </row>
    <row r="2" spans="1:14" x14ac:dyDescent="0.35">
      <c r="A2" t="s">
        <v>1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24</v>
      </c>
      <c r="I2" t="s">
        <v>25</v>
      </c>
      <c r="J2" t="s">
        <v>26</v>
      </c>
      <c r="K2" t="s">
        <v>27</v>
      </c>
      <c r="L2" t="s">
        <v>22</v>
      </c>
      <c r="M2" t="s">
        <v>23</v>
      </c>
      <c r="N2" t="s">
        <v>35</v>
      </c>
    </row>
    <row r="3" spans="1:14" x14ac:dyDescent="0.35">
      <c r="A3" t="s">
        <v>3</v>
      </c>
      <c r="B3" t="s">
        <v>28</v>
      </c>
      <c r="C3">
        <v>1</v>
      </c>
      <c r="D3">
        <v>0</v>
      </c>
      <c r="E3">
        <v>1</v>
      </c>
      <c r="F3">
        <v>18</v>
      </c>
      <c r="G3">
        <v>95</v>
      </c>
      <c r="H3">
        <f>(C3)/(C3+D3)</f>
        <v>1</v>
      </c>
      <c r="I3">
        <f>C3/(C3+E3)</f>
        <v>0.5</v>
      </c>
      <c r="J3">
        <f>(2*(H3*I3))/(H3+I3)</f>
        <v>0.66666666666666663</v>
      </c>
      <c r="K3">
        <f>F3/(F3+D3)</f>
        <v>1</v>
      </c>
      <c r="L3">
        <v>0</v>
      </c>
      <c r="M3">
        <v>40</v>
      </c>
      <c r="N3">
        <f>(I3+K3)/2</f>
        <v>0.75</v>
      </c>
    </row>
    <row r="4" spans="1:14" x14ac:dyDescent="0.35">
      <c r="A4" t="s">
        <v>4</v>
      </c>
      <c r="B4" t="s">
        <v>2</v>
      </c>
      <c r="C4">
        <v>3</v>
      </c>
      <c r="D4">
        <v>0</v>
      </c>
      <c r="E4">
        <v>1</v>
      </c>
      <c r="F4">
        <v>45</v>
      </c>
      <c r="G4">
        <v>97.959183673469298</v>
      </c>
      <c r="H4">
        <f t="shared" ref="H4:H13" si="0">(C4)/(C4+D4)</f>
        <v>1</v>
      </c>
      <c r="I4">
        <f t="shared" ref="I4:I13" si="1">C4/(C4+E4)</f>
        <v>0.75</v>
      </c>
      <c r="J4">
        <f t="shared" ref="J4:J13" si="2">(2*(H4*I4))/(H4+I4)</f>
        <v>0.8571428571428571</v>
      </c>
      <c r="K4">
        <f t="shared" ref="K4:K13" si="3">F4/(F4+D4)</f>
        <v>1</v>
      </c>
      <c r="L4">
        <v>0</v>
      </c>
      <c r="M4">
        <v>40</v>
      </c>
      <c r="N4">
        <f t="shared" ref="N4:N13" si="4">(I4+K4)/2</f>
        <v>0.875</v>
      </c>
    </row>
    <row r="5" spans="1:14" x14ac:dyDescent="0.35">
      <c r="A5" t="s">
        <v>5</v>
      </c>
      <c r="B5" t="s">
        <v>29</v>
      </c>
      <c r="C5">
        <v>1</v>
      </c>
      <c r="D5">
        <v>0</v>
      </c>
      <c r="E5">
        <v>4</v>
      </c>
      <c r="F5">
        <v>44</v>
      </c>
      <c r="G5">
        <v>86.274509800000004</v>
      </c>
      <c r="H5">
        <f t="shared" si="0"/>
        <v>1</v>
      </c>
      <c r="I5">
        <f t="shared" si="1"/>
        <v>0.2</v>
      </c>
      <c r="J5">
        <f t="shared" si="2"/>
        <v>0.33333333333333337</v>
      </c>
      <c r="K5">
        <f t="shared" si="3"/>
        <v>1</v>
      </c>
      <c r="L5">
        <v>0</v>
      </c>
      <c r="M5">
        <v>40</v>
      </c>
      <c r="N5">
        <f t="shared" si="4"/>
        <v>0.6</v>
      </c>
    </row>
    <row r="6" spans="1:14" x14ac:dyDescent="0.35">
      <c r="A6" t="s">
        <v>6</v>
      </c>
      <c r="B6" t="s">
        <v>30</v>
      </c>
      <c r="C6">
        <v>22</v>
      </c>
      <c r="D6">
        <v>0</v>
      </c>
      <c r="E6">
        <v>1</v>
      </c>
      <c r="F6">
        <v>1210</v>
      </c>
      <c r="G6">
        <v>99.918896999188902</v>
      </c>
      <c r="H6">
        <f t="shared" si="0"/>
        <v>1</v>
      </c>
      <c r="I6">
        <f t="shared" si="1"/>
        <v>0.95652173913043481</v>
      </c>
      <c r="J6">
        <f t="shared" si="2"/>
        <v>0.97777777777777775</v>
      </c>
      <c r="K6">
        <f t="shared" si="3"/>
        <v>1</v>
      </c>
      <c r="L6">
        <v>0</v>
      </c>
      <c r="M6">
        <v>40</v>
      </c>
      <c r="N6">
        <f t="shared" si="4"/>
        <v>0.97826086956521741</v>
      </c>
    </row>
    <row r="7" spans="1:14" x14ac:dyDescent="0.35">
      <c r="A7" t="s">
        <v>7</v>
      </c>
      <c r="B7" t="s">
        <v>31</v>
      </c>
      <c r="C7">
        <v>1</v>
      </c>
      <c r="D7">
        <v>0</v>
      </c>
      <c r="E7">
        <v>3</v>
      </c>
      <c r="F7">
        <v>133</v>
      </c>
      <c r="G7">
        <v>97.810218978102199</v>
      </c>
      <c r="H7">
        <f t="shared" si="0"/>
        <v>1</v>
      </c>
      <c r="I7">
        <f t="shared" si="1"/>
        <v>0.25</v>
      </c>
      <c r="J7">
        <f t="shared" si="2"/>
        <v>0.4</v>
      </c>
      <c r="K7">
        <f t="shared" si="3"/>
        <v>1</v>
      </c>
      <c r="L7">
        <v>0</v>
      </c>
      <c r="M7">
        <v>40</v>
      </c>
      <c r="N7">
        <f t="shared" si="4"/>
        <v>0.625</v>
      </c>
    </row>
    <row r="8" spans="1:14" x14ac:dyDescent="0.35">
      <c r="A8" t="s">
        <v>9</v>
      </c>
      <c r="B8" t="s">
        <v>8</v>
      </c>
      <c r="C8">
        <v>1</v>
      </c>
      <c r="D8">
        <v>0</v>
      </c>
      <c r="E8">
        <v>15</v>
      </c>
      <c r="F8">
        <v>207</v>
      </c>
      <c r="G8">
        <v>93.273542600896803</v>
      </c>
      <c r="H8">
        <f t="shared" si="0"/>
        <v>1</v>
      </c>
      <c r="I8">
        <f t="shared" si="1"/>
        <v>6.25E-2</v>
      </c>
      <c r="J8">
        <f t="shared" si="2"/>
        <v>0.11764705882352941</v>
      </c>
      <c r="K8">
        <f t="shared" si="3"/>
        <v>1</v>
      </c>
      <c r="L8">
        <v>0</v>
      </c>
      <c r="M8">
        <v>40</v>
      </c>
      <c r="N8">
        <f t="shared" si="4"/>
        <v>0.53125</v>
      </c>
    </row>
    <row r="9" spans="1:14" x14ac:dyDescent="0.35">
      <c r="A9" t="s">
        <v>10</v>
      </c>
      <c r="B9" t="s">
        <v>13</v>
      </c>
      <c r="C9">
        <v>0</v>
      </c>
      <c r="D9">
        <v>0</v>
      </c>
      <c r="E9">
        <v>4</v>
      </c>
      <c r="F9">
        <v>36</v>
      </c>
      <c r="G9">
        <v>90</v>
      </c>
      <c r="H9" t="e">
        <f t="shared" si="0"/>
        <v>#DIV/0!</v>
      </c>
      <c r="I9">
        <f t="shared" si="1"/>
        <v>0</v>
      </c>
      <c r="J9" t="e">
        <f>(2*(H9*I9))/(H9+I9)</f>
        <v>#DIV/0!</v>
      </c>
      <c r="K9">
        <f t="shared" si="3"/>
        <v>1</v>
      </c>
      <c r="L9">
        <v>0</v>
      </c>
      <c r="M9">
        <v>40</v>
      </c>
      <c r="N9">
        <f t="shared" si="4"/>
        <v>0.5</v>
      </c>
    </row>
    <row r="10" spans="1:14" x14ac:dyDescent="0.35">
      <c r="A10" t="s">
        <v>11</v>
      </c>
      <c r="B10" t="s">
        <v>32</v>
      </c>
      <c r="C10">
        <v>22</v>
      </c>
      <c r="D10">
        <v>0</v>
      </c>
      <c r="E10">
        <v>1</v>
      </c>
      <c r="F10">
        <v>116</v>
      </c>
      <c r="G10">
        <v>98.353909470000005</v>
      </c>
      <c r="H10">
        <f t="shared" si="0"/>
        <v>1</v>
      </c>
      <c r="I10">
        <f t="shared" si="1"/>
        <v>0.95652173913043481</v>
      </c>
      <c r="J10">
        <f t="shared" si="2"/>
        <v>0.97777777777777775</v>
      </c>
      <c r="K10">
        <f t="shared" si="3"/>
        <v>1</v>
      </c>
      <c r="L10">
        <v>10</v>
      </c>
      <c r="M10">
        <v>40</v>
      </c>
      <c r="N10">
        <f t="shared" si="4"/>
        <v>0.97826086956521741</v>
      </c>
    </row>
    <row r="11" spans="1:14" x14ac:dyDescent="0.35">
      <c r="A11" t="s">
        <v>12</v>
      </c>
      <c r="B11" t="s">
        <v>33</v>
      </c>
      <c r="C11">
        <v>3</v>
      </c>
      <c r="D11">
        <v>0</v>
      </c>
      <c r="E11">
        <v>2</v>
      </c>
      <c r="F11">
        <v>47</v>
      </c>
      <c r="G11">
        <v>96.153846153846104</v>
      </c>
      <c r="H11">
        <f t="shared" si="0"/>
        <v>1</v>
      </c>
      <c r="I11">
        <f t="shared" si="1"/>
        <v>0.6</v>
      </c>
      <c r="J11">
        <f t="shared" si="2"/>
        <v>0.74999999999999989</v>
      </c>
      <c r="K11">
        <f t="shared" si="3"/>
        <v>1</v>
      </c>
      <c r="L11">
        <v>10</v>
      </c>
      <c r="M11">
        <v>40</v>
      </c>
      <c r="N11">
        <f t="shared" si="4"/>
        <v>0.8</v>
      </c>
    </row>
    <row r="12" spans="1:14" x14ac:dyDescent="0.35">
      <c r="A12" t="s">
        <v>14</v>
      </c>
      <c r="B12" t="s">
        <v>31</v>
      </c>
      <c r="C12">
        <v>1</v>
      </c>
      <c r="D12">
        <v>0</v>
      </c>
      <c r="E12">
        <v>11</v>
      </c>
      <c r="F12">
        <v>129</v>
      </c>
      <c r="G12">
        <v>92.1985815602836</v>
      </c>
      <c r="H12">
        <f t="shared" si="0"/>
        <v>1</v>
      </c>
      <c r="I12">
        <f t="shared" si="1"/>
        <v>8.3333333333333329E-2</v>
      </c>
      <c r="J12">
        <f>(2*(H12*I12))/(H12+I12)</f>
        <v>0.15384615384615385</v>
      </c>
      <c r="K12">
        <f t="shared" si="3"/>
        <v>1</v>
      </c>
      <c r="L12">
        <v>0</v>
      </c>
      <c r="M12">
        <v>40</v>
      </c>
      <c r="N12">
        <f t="shared" si="4"/>
        <v>0.54166666666666663</v>
      </c>
    </row>
    <row r="13" spans="1:14" x14ac:dyDescent="0.35">
      <c r="A13" t="s">
        <v>16</v>
      </c>
      <c r="B13" t="s">
        <v>15</v>
      </c>
      <c r="C13">
        <v>464</v>
      </c>
      <c r="D13">
        <v>47</v>
      </c>
      <c r="E13">
        <v>38</v>
      </c>
      <c r="F13">
        <v>4971</v>
      </c>
      <c r="G13">
        <v>98.460144929999998</v>
      </c>
      <c r="H13">
        <f t="shared" si="0"/>
        <v>0.90802348336594907</v>
      </c>
      <c r="I13">
        <f t="shared" si="1"/>
        <v>0.92430278884462147</v>
      </c>
      <c r="J13">
        <f t="shared" si="2"/>
        <v>0.91609081934846981</v>
      </c>
      <c r="K13">
        <f t="shared" si="3"/>
        <v>0.99063371861299321</v>
      </c>
      <c r="L13">
        <v>0</v>
      </c>
      <c r="M13">
        <v>40</v>
      </c>
      <c r="N13">
        <f t="shared" si="4"/>
        <v>0.95746825372880728</v>
      </c>
    </row>
    <row r="24" spans="1:6" x14ac:dyDescent="0.35">
      <c r="A24" t="s">
        <v>1</v>
      </c>
      <c r="B24" t="s">
        <v>34</v>
      </c>
      <c r="C24" t="s">
        <v>24</v>
      </c>
      <c r="D24" t="s">
        <v>25</v>
      </c>
      <c r="E24" t="s">
        <v>26</v>
      </c>
      <c r="F24" t="s">
        <v>35</v>
      </c>
    </row>
    <row r="25" spans="1:6" x14ac:dyDescent="0.35">
      <c r="A25" t="s">
        <v>4</v>
      </c>
      <c r="B25">
        <v>97.959183673469298</v>
      </c>
      <c r="C25">
        <v>1</v>
      </c>
      <c r="D25">
        <v>0.75</v>
      </c>
      <c r="E25">
        <v>0.8571428571428571</v>
      </c>
      <c r="F25">
        <v>0.875</v>
      </c>
    </row>
    <row r="26" spans="1:6" x14ac:dyDescent="0.35">
      <c r="A26" t="s">
        <v>5</v>
      </c>
      <c r="B26">
        <v>86.274509800000004</v>
      </c>
      <c r="C26">
        <v>1</v>
      </c>
      <c r="D26">
        <v>0.2</v>
      </c>
      <c r="E26">
        <v>0.33333333333333337</v>
      </c>
      <c r="F26">
        <v>0.6</v>
      </c>
    </row>
    <row r="27" spans="1:6" x14ac:dyDescent="0.35">
      <c r="A27" t="s">
        <v>6</v>
      </c>
      <c r="B27">
        <v>99.918896999188902</v>
      </c>
      <c r="C27">
        <v>1</v>
      </c>
      <c r="D27">
        <v>0.95652173913043481</v>
      </c>
      <c r="E27">
        <v>0.97777777777777775</v>
      </c>
      <c r="F27">
        <v>0.97826086956521741</v>
      </c>
    </row>
    <row r="28" spans="1:6" x14ac:dyDescent="0.35">
      <c r="A28" t="s">
        <v>7</v>
      </c>
      <c r="B28">
        <v>97.810218978102199</v>
      </c>
      <c r="C28">
        <v>1</v>
      </c>
      <c r="D28">
        <v>0.25</v>
      </c>
      <c r="E28">
        <v>0.4</v>
      </c>
      <c r="F28">
        <v>0.625</v>
      </c>
    </row>
    <row r="29" spans="1:6" x14ac:dyDescent="0.35">
      <c r="A29" t="s">
        <v>9</v>
      </c>
      <c r="B29">
        <v>93.273542600896803</v>
      </c>
      <c r="C29">
        <v>1</v>
      </c>
      <c r="D29">
        <v>6.25E-2</v>
      </c>
      <c r="E29">
        <v>0.11764705882352941</v>
      </c>
      <c r="F29">
        <v>0.53125</v>
      </c>
    </row>
    <row r="30" spans="1:6" x14ac:dyDescent="0.35">
      <c r="A30" t="s">
        <v>10</v>
      </c>
      <c r="B30">
        <v>90</v>
      </c>
      <c r="C30" t="e">
        <v>#DIV/0!</v>
      </c>
      <c r="D30">
        <v>0</v>
      </c>
      <c r="E30" t="e">
        <v>#DIV/0!</v>
      </c>
      <c r="F30">
        <v>0.5</v>
      </c>
    </row>
    <row r="31" spans="1:6" x14ac:dyDescent="0.35">
      <c r="A31" t="s">
        <v>11</v>
      </c>
      <c r="B31">
        <v>98.353909470000005</v>
      </c>
      <c r="C31">
        <v>1</v>
      </c>
      <c r="D31">
        <v>0.95652173913043481</v>
      </c>
      <c r="E31">
        <v>0.97777777777777775</v>
      </c>
      <c r="F31">
        <v>0.97826086956521741</v>
      </c>
    </row>
    <row r="32" spans="1:6" x14ac:dyDescent="0.35">
      <c r="A32" t="s">
        <v>12</v>
      </c>
      <c r="B32">
        <v>96.153846153846104</v>
      </c>
      <c r="C32">
        <v>1</v>
      </c>
      <c r="D32">
        <v>0.6</v>
      </c>
      <c r="E32">
        <v>0.74999999999999989</v>
      </c>
      <c r="F32">
        <v>0.8</v>
      </c>
    </row>
    <row r="33" spans="1:6" x14ac:dyDescent="0.35">
      <c r="A33" t="s">
        <v>14</v>
      </c>
      <c r="B33">
        <v>92.1985815602836</v>
      </c>
      <c r="C33">
        <v>1</v>
      </c>
      <c r="D33">
        <v>8.3333333333333329E-2</v>
      </c>
      <c r="E33">
        <v>0.15384615384615385</v>
      </c>
      <c r="F33">
        <v>0.54166666666666663</v>
      </c>
    </row>
    <row r="34" spans="1:6" x14ac:dyDescent="0.35">
      <c r="A34" t="s">
        <v>16</v>
      </c>
      <c r="B34">
        <v>98.460144929999998</v>
      </c>
      <c r="C34">
        <v>0.90802348336594907</v>
      </c>
      <c r="D34">
        <v>0.92430278884462147</v>
      </c>
      <c r="E34">
        <v>0.91609081934846981</v>
      </c>
      <c r="F34">
        <v>0.95746825372880728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2025-03-26T20:56:11Z</dcterms:modified>
</cp:coreProperties>
</file>