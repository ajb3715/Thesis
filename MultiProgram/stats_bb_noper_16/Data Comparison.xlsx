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MultiProgram\stats_bb_noper_16\"/>
    </mc:Choice>
  </mc:AlternateContent>
  <xr:revisionPtr revIDLastSave="0" documentId="13_ncr:9_{D6803797-7BE0-498C-B304-724EF27C4669}" xr6:coauthVersionLast="47" xr6:coauthVersionMax="47" xr10:uidLastSave="{00000000-0000-0000-0000-000000000000}"/>
  <bookViews>
    <workbookView xWindow="3760" yWindow="3760" windowWidth="28800" windowHeight="15910" xr2:uid="{D88461B2-2C65-4402-BC28-F6BD8FEB8E0C}"/>
  </bookViews>
  <sheets>
    <sheet name="Data Comparison" sheetId="1" r:id="rId1"/>
  </sheets>
  <calcPr calcId="0"/>
</workbook>
</file>

<file path=xl/calcChain.xml><?xml version="1.0" encoding="utf-8"?>
<calcChain xmlns="http://schemas.openxmlformats.org/spreadsheetml/2006/main">
  <c r="BA36" i="1" l="1"/>
  <c r="BB36" i="1"/>
  <c r="BC36" i="1"/>
  <c r="BD36" i="1"/>
  <c r="BE36" i="1"/>
  <c r="BA37" i="1"/>
  <c r="BB37" i="1"/>
  <c r="BC37" i="1"/>
  <c r="BD37" i="1"/>
  <c r="BE37" i="1"/>
  <c r="BA38" i="1"/>
  <c r="BB38" i="1"/>
  <c r="BC38" i="1"/>
  <c r="BD38" i="1"/>
  <c r="BE38" i="1"/>
  <c r="BA39" i="1"/>
  <c r="BB39" i="1"/>
  <c r="BC39" i="1"/>
  <c r="BD39" i="1"/>
  <c r="BE39" i="1"/>
  <c r="BA40" i="1"/>
  <c r="BB40" i="1"/>
  <c r="BC40" i="1"/>
  <c r="BD40" i="1"/>
  <c r="BE40" i="1"/>
  <c r="BA41" i="1"/>
  <c r="BB41" i="1"/>
  <c r="BC41" i="1"/>
  <c r="BD41" i="1"/>
  <c r="BE41" i="1"/>
  <c r="BA42" i="1"/>
  <c r="BB42" i="1"/>
  <c r="BC42" i="1"/>
  <c r="BD42" i="1"/>
  <c r="BE42" i="1"/>
  <c r="BA43" i="1"/>
  <c r="BB43" i="1"/>
  <c r="BC43" i="1"/>
  <c r="BD43" i="1"/>
  <c r="BE43" i="1"/>
  <c r="BA44" i="1"/>
  <c r="BB44" i="1"/>
  <c r="BC44" i="1"/>
  <c r="BD44" i="1"/>
  <c r="BE44" i="1"/>
  <c r="BA45" i="1"/>
  <c r="BB45" i="1"/>
  <c r="BC45" i="1"/>
  <c r="BD45" i="1"/>
  <c r="BE45" i="1"/>
  <c r="BA46" i="1"/>
  <c r="BB46" i="1"/>
  <c r="BC46" i="1"/>
  <c r="BD46" i="1"/>
  <c r="BE46" i="1"/>
  <c r="BA47" i="1"/>
  <c r="BB47" i="1"/>
  <c r="BC47" i="1"/>
  <c r="BD47" i="1"/>
  <c r="BE47" i="1"/>
  <c r="BA48" i="1"/>
  <c r="BB48" i="1"/>
  <c r="BC48" i="1"/>
  <c r="BD48" i="1"/>
  <c r="BE48" i="1"/>
  <c r="BA49" i="1"/>
  <c r="BB49" i="1"/>
  <c r="BC49" i="1"/>
  <c r="BD49" i="1"/>
  <c r="BE49" i="1"/>
  <c r="BA50" i="1"/>
  <c r="BB50" i="1"/>
  <c r="BC50" i="1"/>
  <c r="BD50" i="1"/>
  <c r="BE50" i="1"/>
  <c r="BA51" i="1"/>
  <c r="BB51" i="1"/>
  <c r="BC51" i="1"/>
  <c r="BD51" i="1"/>
  <c r="BE51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36" i="1"/>
</calcChain>
</file>

<file path=xl/sharedStrings.xml><?xml version="1.0" encoding="utf-8"?>
<sst xmlns="http://schemas.openxmlformats.org/spreadsheetml/2006/main" count="166" uniqueCount="16">
  <si>
    <t>bs</t>
  </si>
  <si>
    <t>bt</t>
  </si>
  <si>
    <t>Blackscholes- B</t>
  </si>
  <si>
    <t>BB</t>
  </si>
  <si>
    <t>Combined</t>
  </si>
  <si>
    <t>2.71E+13</t>
  </si>
  <si>
    <t>2.86E+13</t>
  </si>
  <si>
    <t>2.67E+13</t>
  </si>
  <si>
    <t>5.58E+13</t>
  </si>
  <si>
    <t>Bodytrack-B</t>
  </si>
  <si>
    <t>Diff</t>
  </si>
  <si>
    <t>2.81393E+13</t>
  </si>
  <si>
    <t>nan</t>
  </si>
  <si>
    <t>blackscholes</t>
  </si>
  <si>
    <t>bodytrack</t>
  </si>
  <si>
    <t>Bodytrack-Blackscholes all 16 cores all 16 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</si>
</sst>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AE5-98DA-4094-9070-8AEC7F969955}">
  <dimension ref="A1:BE64"/>
  <sheetViews>
    <sheetView tabSelected="1" topLeftCell="Q1" zoomScale="70" zoomScaleNormal="70" workbookViewId="0">
      <selection activeCell="AD30" sqref="AD30"/>
    </sheetView>
  </sheetViews>
  <sheetFormatPr defaultRowHeight="14.5" x14ac:dyDescent="0.35"/>
  <sheetData>
    <row r="1" spans="1:50" x14ac:dyDescent="0.35">
      <c r="A1">
        <v>6440</v>
      </c>
      <c r="B1">
        <v>700</v>
      </c>
      <c r="C1">
        <v>926</v>
      </c>
      <c r="D1">
        <v>580</v>
      </c>
      <c r="E1">
        <v>510</v>
      </c>
      <c r="F1">
        <v>688</v>
      </c>
      <c r="G1">
        <v>494</v>
      </c>
      <c r="H1">
        <v>477</v>
      </c>
      <c r="I1">
        <v>622</v>
      </c>
      <c r="J1">
        <v>502</v>
      </c>
      <c r="K1">
        <v>653</v>
      </c>
      <c r="L1">
        <v>507</v>
      </c>
      <c r="M1">
        <v>711</v>
      </c>
      <c r="N1">
        <v>559</v>
      </c>
      <c r="O1">
        <v>647</v>
      </c>
      <c r="P1">
        <v>633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L1" t="s">
        <v>2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S1" t="s">
        <v>4</v>
      </c>
      <c r="AT1" t="s">
        <v>4</v>
      </c>
      <c r="AU1" t="s">
        <v>4</v>
      </c>
      <c r="AV1" t="s">
        <v>4</v>
      </c>
      <c r="AW1" t="s">
        <v>4</v>
      </c>
      <c r="AX1" t="s">
        <v>4</v>
      </c>
    </row>
    <row r="2" spans="1:50" x14ac:dyDescent="0.35">
      <c r="A2">
        <v>4713</v>
      </c>
      <c r="B2">
        <v>1861</v>
      </c>
      <c r="C2">
        <v>2069</v>
      </c>
      <c r="D2">
        <v>1719</v>
      </c>
      <c r="E2">
        <v>2218</v>
      </c>
      <c r="F2">
        <v>2132</v>
      </c>
      <c r="G2">
        <v>1665</v>
      </c>
      <c r="H2">
        <v>1529</v>
      </c>
      <c r="I2">
        <v>1877</v>
      </c>
      <c r="J2">
        <v>1432</v>
      </c>
      <c r="K2">
        <v>1404</v>
      </c>
      <c r="L2">
        <v>2408</v>
      </c>
      <c r="M2">
        <v>1580</v>
      </c>
      <c r="N2">
        <v>1313</v>
      </c>
      <c r="O2">
        <v>1744</v>
      </c>
      <c r="P2">
        <v>1835</v>
      </c>
      <c r="X2">
        <v>392425</v>
      </c>
      <c r="Y2">
        <v>392425</v>
      </c>
      <c r="Z2">
        <v>392425</v>
      </c>
      <c r="AA2">
        <v>404265</v>
      </c>
      <c r="AB2">
        <v>392425</v>
      </c>
      <c r="AC2" s="1" t="s">
        <v>5</v>
      </c>
      <c r="AE2">
        <v>7382275</v>
      </c>
      <c r="AF2">
        <v>7382275</v>
      </c>
      <c r="AG2">
        <v>7382275</v>
      </c>
      <c r="AH2">
        <v>7446172</v>
      </c>
      <c r="AI2">
        <v>7382275</v>
      </c>
      <c r="AJ2" s="1" t="s">
        <v>6</v>
      </c>
      <c r="AL2">
        <v>418495</v>
      </c>
      <c r="AM2">
        <v>418495</v>
      </c>
      <c r="AN2">
        <v>418495</v>
      </c>
      <c r="AO2">
        <v>428577</v>
      </c>
      <c r="AP2">
        <v>418495</v>
      </c>
      <c r="AQ2" s="1" t="s">
        <v>7</v>
      </c>
      <c r="AS2">
        <v>7774700</v>
      </c>
      <c r="AT2">
        <v>7774700</v>
      </c>
      <c r="AU2">
        <v>7774700</v>
      </c>
      <c r="AV2">
        <v>7850437</v>
      </c>
      <c r="AW2">
        <v>7774700</v>
      </c>
      <c r="AX2" s="1" t="s">
        <v>8</v>
      </c>
    </row>
    <row r="3" spans="1:50" x14ac:dyDescent="0.35">
      <c r="A3">
        <v>2778</v>
      </c>
      <c r="B3">
        <v>668</v>
      </c>
      <c r="C3">
        <v>778</v>
      </c>
      <c r="D3">
        <v>573</v>
      </c>
      <c r="E3">
        <v>770</v>
      </c>
      <c r="F3">
        <v>806</v>
      </c>
      <c r="G3">
        <v>555</v>
      </c>
      <c r="H3">
        <v>399</v>
      </c>
      <c r="I3">
        <v>525</v>
      </c>
      <c r="J3">
        <v>689</v>
      </c>
      <c r="K3">
        <v>603</v>
      </c>
      <c r="L3">
        <v>574</v>
      </c>
      <c r="M3">
        <v>735</v>
      </c>
      <c r="N3">
        <v>603</v>
      </c>
      <c r="O3">
        <v>645</v>
      </c>
      <c r="P3">
        <v>693</v>
      </c>
      <c r="X3">
        <v>455311</v>
      </c>
      <c r="Y3">
        <v>455311</v>
      </c>
      <c r="Z3">
        <v>455311</v>
      </c>
      <c r="AA3">
        <v>466426</v>
      </c>
      <c r="AB3">
        <v>455311</v>
      </c>
      <c r="AC3" s="1" t="s">
        <v>5</v>
      </c>
      <c r="AE3">
        <v>11401598</v>
      </c>
      <c r="AF3">
        <v>11401598</v>
      </c>
      <c r="AG3">
        <v>11401598</v>
      </c>
      <c r="AH3">
        <v>11689298</v>
      </c>
      <c r="AI3">
        <v>11401598</v>
      </c>
      <c r="AJ3" s="1" t="s">
        <v>6</v>
      </c>
      <c r="AL3">
        <v>448928</v>
      </c>
      <c r="AM3">
        <v>448928</v>
      </c>
      <c r="AN3">
        <v>448928</v>
      </c>
      <c r="AO3">
        <v>460158</v>
      </c>
      <c r="AP3">
        <v>448928</v>
      </c>
      <c r="AQ3" s="1" t="s">
        <v>7</v>
      </c>
      <c r="AS3">
        <v>11856909</v>
      </c>
      <c r="AT3">
        <v>11856909</v>
      </c>
      <c r="AU3">
        <v>11856909</v>
      </c>
      <c r="AV3">
        <v>12155724</v>
      </c>
      <c r="AW3">
        <v>11856909</v>
      </c>
      <c r="AX3" s="1" t="s">
        <v>8</v>
      </c>
    </row>
    <row r="4" spans="1:50" x14ac:dyDescent="0.35">
      <c r="A4">
        <v>2028</v>
      </c>
      <c r="B4">
        <v>163</v>
      </c>
      <c r="C4">
        <v>143</v>
      </c>
      <c r="D4">
        <v>87</v>
      </c>
      <c r="E4">
        <v>174</v>
      </c>
      <c r="F4">
        <v>143</v>
      </c>
      <c r="G4">
        <v>107</v>
      </c>
      <c r="H4">
        <v>63</v>
      </c>
      <c r="I4">
        <v>138</v>
      </c>
      <c r="J4">
        <v>118</v>
      </c>
      <c r="K4">
        <v>162</v>
      </c>
      <c r="L4">
        <v>138</v>
      </c>
      <c r="M4">
        <v>172</v>
      </c>
      <c r="N4">
        <v>156</v>
      </c>
      <c r="O4">
        <v>168</v>
      </c>
      <c r="P4">
        <v>135</v>
      </c>
      <c r="X4">
        <v>370025</v>
      </c>
      <c r="Y4">
        <v>370025</v>
      </c>
      <c r="Z4">
        <v>370025</v>
      </c>
      <c r="AA4">
        <v>376535</v>
      </c>
      <c r="AB4">
        <v>370025</v>
      </c>
      <c r="AC4" s="1" t="s">
        <v>5</v>
      </c>
      <c r="AE4">
        <v>18607491</v>
      </c>
      <c r="AF4">
        <v>18607491</v>
      </c>
      <c r="AG4">
        <v>18607491</v>
      </c>
      <c r="AH4">
        <v>19126067</v>
      </c>
      <c r="AI4">
        <v>18607491</v>
      </c>
      <c r="AJ4" s="1" t="s">
        <v>6</v>
      </c>
      <c r="AL4">
        <v>307770</v>
      </c>
      <c r="AM4">
        <v>307770</v>
      </c>
      <c r="AN4">
        <v>307770</v>
      </c>
      <c r="AO4">
        <v>312150</v>
      </c>
      <c r="AP4">
        <v>307770</v>
      </c>
      <c r="AQ4" s="1" t="s">
        <v>7</v>
      </c>
      <c r="AS4">
        <v>18977516</v>
      </c>
      <c r="AT4">
        <v>18977516</v>
      </c>
      <c r="AU4">
        <v>18977516</v>
      </c>
      <c r="AV4">
        <v>19502602</v>
      </c>
      <c r="AW4">
        <v>18977516</v>
      </c>
      <c r="AX4" s="1" t="s">
        <v>8</v>
      </c>
    </row>
    <row r="5" spans="1:50" x14ac:dyDescent="0.35">
      <c r="A5">
        <v>2844</v>
      </c>
      <c r="B5">
        <v>755</v>
      </c>
      <c r="C5">
        <v>991</v>
      </c>
      <c r="D5">
        <v>608</v>
      </c>
      <c r="E5">
        <v>553</v>
      </c>
      <c r="F5">
        <v>786</v>
      </c>
      <c r="G5">
        <v>491</v>
      </c>
      <c r="H5">
        <v>505</v>
      </c>
      <c r="I5">
        <v>637</v>
      </c>
      <c r="J5">
        <v>460</v>
      </c>
      <c r="K5">
        <v>952</v>
      </c>
      <c r="L5">
        <v>614</v>
      </c>
      <c r="M5">
        <v>656</v>
      </c>
      <c r="N5">
        <v>560</v>
      </c>
      <c r="O5">
        <v>727</v>
      </c>
      <c r="P5">
        <v>664</v>
      </c>
      <c r="X5">
        <v>246284</v>
      </c>
      <c r="Y5">
        <v>246284</v>
      </c>
      <c r="Z5">
        <v>246284</v>
      </c>
      <c r="AA5">
        <v>249740</v>
      </c>
      <c r="AB5">
        <v>246284</v>
      </c>
      <c r="AC5" s="1" t="s">
        <v>5</v>
      </c>
      <c r="AE5">
        <v>10675242</v>
      </c>
      <c r="AF5">
        <v>10675242</v>
      </c>
      <c r="AG5">
        <v>10675242</v>
      </c>
      <c r="AH5">
        <v>10844395</v>
      </c>
      <c r="AI5">
        <v>10675242</v>
      </c>
      <c r="AJ5" s="1" t="s">
        <v>6</v>
      </c>
      <c r="AL5">
        <v>144614</v>
      </c>
      <c r="AM5">
        <v>144614</v>
      </c>
      <c r="AN5">
        <v>144614</v>
      </c>
      <c r="AO5">
        <v>145272</v>
      </c>
      <c r="AP5">
        <v>144614</v>
      </c>
      <c r="AQ5" s="1" t="s">
        <v>7</v>
      </c>
      <c r="AS5">
        <v>10921526</v>
      </c>
      <c r="AT5">
        <v>10921526</v>
      </c>
      <c r="AU5">
        <v>10921526</v>
      </c>
      <c r="AV5">
        <v>11094135</v>
      </c>
      <c r="AW5">
        <v>10921526</v>
      </c>
      <c r="AX5" s="1" t="s">
        <v>8</v>
      </c>
    </row>
    <row r="6" spans="1:50" x14ac:dyDescent="0.35">
      <c r="A6">
        <v>3706</v>
      </c>
      <c r="B6">
        <v>1266</v>
      </c>
      <c r="C6">
        <v>1571</v>
      </c>
      <c r="D6">
        <v>1061</v>
      </c>
      <c r="E6">
        <v>1499</v>
      </c>
      <c r="F6">
        <v>1229</v>
      </c>
      <c r="G6">
        <v>1020</v>
      </c>
      <c r="H6">
        <v>981</v>
      </c>
      <c r="I6">
        <v>1175</v>
      </c>
      <c r="J6">
        <v>1036</v>
      </c>
      <c r="K6">
        <v>1221</v>
      </c>
      <c r="L6">
        <v>2216</v>
      </c>
      <c r="M6">
        <v>1275</v>
      </c>
      <c r="N6">
        <v>1045</v>
      </c>
      <c r="O6">
        <v>1457</v>
      </c>
      <c r="P6">
        <v>1366</v>
      </c>
      <c r="X6">
        <v>304425</v>
      </c>
      <c r="Y6">
        <v>304425</v>
      </c>
      <c r="Z6">
        <v>304425</v>
      </c>
      <c r="AA6">
        <v>311750</v>
      </c>
      <c r="AB6">
        <v>304425</v>
      </c>
      <c r="AC6" s="1" t="s">
        <v>5</v>
      </c>
      <c r="AE6">
        <v>8792370</v>
      </c>
      <c r="AF6">
        <v>8792370</v>
      </c>
      <c r="AG6">
        <v>8792370</v>
      </c>
      <c r="AH6">
        <v>8966377</v>
      </c>
      <c r="AI6">
        <v>8792370</v>
      </c>
      <c r="AJ6" s="1" t="s">
        <v>6</v>
      </c>
      <c r="AL6">
        <v>385386</v>
      </c>
      <c r="AM6">
        <v>385386</v>
      </c>
      <c r="AN6">
        <v>385386</v>
      </c>
      <c r="AO6">
        <v>394298</v>
      </c>
      <c r="AP6">
        <v>385386</v>
      </c>
      <c r="AQ6" s="1" t="s">
        <v>7</v>
      </c>
      <c r="AS6">
        <v>9096795</v>
      </c>
      <c r="AT6">
        <v>9096795</v>
      </c>
      <c r="AU6">
        <v>9096795</v>
      </c>
      <c r="AV6">
        <v>9278127</v>
      </c>
      <c r="AW6">
        <v>9096795</v>
      </c>
      <c r="AX6" s="1" t="s">
        <v>8</v>
      </c>
    </row>
    <row r="7" spans="1:50" x14ac:dyDescent="0.35">
      <c r="A7">
        <v>2423</v>
      </c>
      <c r="B7">
        <v>581</v>
      </c>
      <c r="C7">
        <v>1854</v>
      </c>
      <c r="D7">
        <v>524</v>
      </c>
      <c r="E7">
        <v>504</v>
      </c>
      <c r="F7">
        <v>546</v>
      </c>
      <c r="G7">
        <v>440</v>
      </c>
      <c r="H7">
        <v>377</v>
      </c>
      <c r="I7">
        <v>478</v>
      </c>
      <c r="J7">
        <v>429</v>
      </c>
      <c r="K7">
        <v>507</v>
      </c>
      <c r="L7">
        <v>531</v>
      </c>
      <c r="M7">
        <v>519</v>
      </c>
      <c r="N7">
        <v>514</v>
      </c>
      <c r="O7">
        <v>581</v>
      </c>
      <c r="P7">
        <v>652</v>
      </c>
      <c r="X7">
        <v>440699</v>
      </c>
      <c r="Y7">
        <v>440699</v>
      </c>
      <c r="Z7">
        <v>440699</v>
      </c>
      <c r="AA7">
        <v>452463</v>
      </c>
      <c r="AB7">
        <v>440699</v>
      </c>
      <c r="AC7" s="1" t="s">
        <v>5</v>
      </c>
      <c r="AE7">
        <v>15792071</v>
      </c>
      <c r="AF7">
        <v>15792071</v>
      </c>
      <c r="AG7">
        <v>15792071</v>
      </c>
      <c r="AH7">
        <v>16298277</v>
      </c>
      <c r="AI7">
        <v>15792071</v>
      </c>
      <c r="AJ7" s="1" t="s">
        <v>6</v>
      </c>
      <c r="AL7">
        <v>418373</v>
      </c>
      <c r="AM7">
        <v>418373</v>
      </c>
      <c r="AN7">
        <v>418373</v>
      </c>
      <c r="AO7">
        <v>432347</v>
      </c>
      <c r="AP7">
        <v>418373</v>
      </c>
      <c r="AQ7" s="1" t="s">
        <v>7</v>
      </c>
      <c r="AS7">
        <v>16232770</v>
      </c>
      <c r="AT7">
        <v>16232770</v>
      </c>
      <c r="AU7">
        <v>16232770</v>
      </c>
      <c r="AV7">
        <v>16750740</v>
      </c>
      <c r="AW7">
        <v>16232770</v>
      </c>
      <c r="AX7" s="1" t="s">
        <v>8</v>
      </c>
    </row>
    <row r="8" spans="1:50" x14ac:dyDescent="0.35">
      <c r="A8">
        <v>1832</v>
      </c>
      <c r="B8">
        <v>158</v>
      </c>
      <c r="C8">
        <v>118</v>
      </c>
      <c r="D8">
        <v>110</v>
      </c>
      <c r="E8">
        <v>174</v>
      </c>
      <c r="F8">
        <v>153</v>
      </c>
      <c r="G8">
        <v>100</v>
      </c>
      <c r="H8">
        <v>76</v>
      </c>
      <c r="I8">
        <v>163</v>
      </c>
      <c r="J8">
        <v>104</v>
      </c>
      <c r="K8">
        <v>172</v>
      </c>
      <c r="L8">
        <v>117</v>
      </c>
      <c r="M8">
        <v>177</v>
      </c>
      <c r="N8">
        <v>122</v>
      </c>
      <c r="O8">
        <v>221</v>
      </c>
      <c r="P8">
        <v>175</v>
      </c>
      <c r="X8">
        <v>500177</v>
      </c>
      <c r="Y8">
        <v>500177</v>
      </c>
      <c r="Z8">
        <v>500177</v>
      </c>
      <c r="AA8">
        <v>514831</v>
      </c>
      <c r="AB8">
        <v>500177</v>
      </c>
      <c r="AC8" s="1" t="s">
        <v>5</v>
      </c>
      <c r="AE8">
        <v>19895485</v>
      </c>
      <c r="AF8">
        <v>19895485</v>
      </c>
      <c r="AG8">
        <v>19895485</v>
      </c>
      <c r="AH8">
        <v>20482103</v>
      </c>
      <c r="AI8">
        <v>19895485</v>
      </c>
      <c r="AJ8" s="1" t="s">
        <v>6</v>
      </c>
      <c r="AL8">
        <v>306712</v>
      </c>
      <c r="AM8">
        <v>306712</v>
      </c>
      <c r="AN8">
        <v>306712</v>
      </c>
      <c r="AO8">
        <v>314757</v>
      </c>
      <c r="AP8">
        <v>306712</v>
      </c>
      <c r="AQ8" s="1" t="s">
        <v>7</v>
      </c>
      <c r="AS8">
        <v>20395662</v>
      </c>
      <c r="AT8">
        <v>20395662</v>
      </c>
      <c r="AU8">
        <v>20395662</v>
      </c>
      <c r="AV8">
        <v>20996934</v>
      </c>
      <c r="AW8">
        <v>20395662</v>
      </c>
      <c r="AX8" s="1" t="s">
        <v>8</v>
      </c>
    </row>
    <row r="9" spans="1:50" x14ac:dyDescent="0.35">
      <c r="A9">
        <v>9197</v>
      </c>
      <c r="B9">
        <v>6658</v>
      </c>
      <c r="C9">
        <v>5741</v>
      </c>
      <c r="D9">
        <v>5066</v>
      </c>
      <c r="E9">
        <v>5623</v>
      </c>
      <c r="F9">
        <v>5726</v>
      </c>
      <c r="G9">
        <v>5568</v>
      </c>
      <c r="H9">
        <v>5000</v>
      </c>
      <c r="I9">
        <v>4906</v>
      </c>
      <c r="J9">
        <v>4915</v>
      </c>
      <c r="K9">
        <v>6601</v>
      </c>
      <c r="L9">
        <v>5360</v>
      </c>
      <c r="M9">
        <v>5620</v>
      </c>
      <c r="N9">
        <v>4979</v>
      </c>
      <c r="O9">
        <v>5905</v>
      </c>
      <c r="P9">
        <v>5816</v>
      </c>
      <c r="X9">
        <v>503964</v>
      </c>
      <c r="Y9">
        <v>503964</v>
      </c>
      <c r="Z9">
        <v>503964</v>
      </c>
      <c r="AA9">
        <v>519210</v>
      </c>
      <c r="AB9">
        <v>503964</v>
      </c>
      <c r="AC9" s="1" t="s">
        <v>5</v>
      </c>
      <c r="AE9">
        <v>14397999</v>
      </c>
      <c r="AF9">
        <v>14397999</v>
      </c>
      <c r="AG9">
        <v>14397999</v>
      </c>
      <c r="AH9">
        <v>14750945</v>
      </c>
      <c r="AI9">
        <v>14397999</v>
      </c>
      <c r="AJ9" s="1" t="s">
        <v>6</v>
      </c>
      <c r="AL9">
        <v>170354</v>
      </c>
      <c r="AM9">
        <v>170354</v>
      </c>
      <c r="AN9">
        <v>170354</v>
      </c>
      <c r="AO9">
        <v>172523</v>
      </c>
      <c r="AP9">
        <v>170354</v>
      </c>
      <c r="AQ9" s="1" t="s">
        <v>7</v>
      </c>
      <c r="AS9">
        <v>14901963</v>
      </c>
      <c r="AT9">
        <v>14901963</v>
      </c>
      <c r="AU9">
        <v>14901963</v>
      </c>
      <c r="AV9">
        <v>15270155</v>
      </c>
      <c r="AW9">
        <v>14901963</v>
      </c>
      <c r="AX9" s="1" t="s">
        <v>8</v>
      </c>
    </row>
    <row r="10" spans="1:50" x14ac:dyDescent="0.35">
      <c r="A10">
        <v>2908</v>
      </c>
      <c r="B10">
        <v>930</v>
      </c>
      <c r="C10">
        <v>2150</v>
      </c>
      <c r="D10">
        <v>777</v>
      </c>
      <c r="E10">
        <v>709</v>
      </c>
      <c r="F10">
        <v>848</v>
      </c>
      <c r="G10">
        <v>717</v>
      </c>
      <c r="H10">
        <v>699</v>
      </c>
      <c r="I10">
        <v>738</v>
      </c>
      <c r="J10">
        <v>630</v>
      </c>
      <c r="K10">
        <v>866</v>
      </c>
      <c r="L10">
        <v>747</v>
      </c>
      <c r="M10">
        <v>757</v>
      </c>
      <c r="N10">
        <v>726</v>
      </c>
      <c r="O10">
        <v>754</v>
      </c>
      <c r="P10">
        <v>1001</v>
      </c>
      <c r="X10">
        <v>262863</v>
      </c>
      <c r="Y10">
        <v>262863</v>
      </c>
      <c r="Z10">
        <v>262863</v>
      </c>
      <c r="AA10">
        <v>269347</v>
      </c>
      <c r="AB10">
        <v>262863</v>
      </c>
      <c r="AC10" s="1" t="s">
        <v>5</v>
      </c>
      <c r="AE10">
        <v>11524240</v>
      </c>
      <c r="AF10">
        <v>11524240</v>
      </c>
      <c r="AG10">
        <v>11524240</v>
      </c>
      <c r="AH10">
        <v>11710697</v>
      </c>
      <c r="AI10">
        <v>11524240</v>
      </c>
      <c r="AJ10" s="1" t="s">
        <v>6</v>
      </c>
      <c r="AL10">
        <v>595157</v>
      </c>
      <c r="AM10">
        <v>595157</v>
      </c>
      <c r="AN10">
        <v>595157</v>
      </c>
      <c r="AO10">
        <v>614142</v>
      </c>
      <c r="AP10">
        <v>595157</v>
      </c>
      <c r="AQ10" s="1" t="s">
        <v>7</v>
      </c>
      <c r="AS10">
        <v>11787103</v>
      </c>
      <c r="AT10">
        <v>11787103</v>
      </c>
      <c r="AU10">
        <v>11787103</v>
      </c>
      <c r="AV10">
        <v>11980044</v>
      </c>
      <c r="AW10">
        <v>11787103</v>
      </c>
      <c r="AX10" s="1" t="s">
        <v>8</v>
      </c>
    </row>
    <row r="11" spans="1:50" x14ac:dyDescent="0.35">
      <c r="A11">
        <v>3182</v>
      </c>
      <c r="B11">
        <v>942</v>
      </c>
      <c r="C11">
        <v>806</v>
      </c>
      <c r="D11">
        <v>854</v>
      </c>
      <c r="E11">
        <v>1375</v>
      </c>
      <c r="F11">
        <v>1006</v>
      </c>
      <c r="G11">
        <v>858</v>
      </c>
      <c r="H11">
        <v>838</v>
      </c>
      <c r="I11">
        <v>913</v>
      </c>
      <c r="J11">
        <v>810</v>
      </c>
      <c r="K11">
        <v>902</v>
      </c>
      <c r="L11">
        <v>2339</v>
      </c>
      <c r="M11">
        <v>1024</v>
      </c>
      <c r="N11">
        <v>904</v>
      </c>
      <c r="O11">
        <v>1242</v>
      </c>
      <c r="P11">
        <v>1105</v>
      </c>
      <c r="X11">
        <v>330188</v>
      </c>
      <c r="Y11">
        <v>330188</v>
      </c>
      <c r="Z11">
        <v>330188</v>
      </c>
      <c r="AA11">
        <v>337393</v>
      </c>
      <c r="AB11">
        <v>330188</v>
      </c>
      <c r="AC11" s="1" t="s">
        <v>5</v>
      </c>
      <c r="AE11">
        <v>16776252</v>
      </c>
      <c r="AF11">
        <v>16776252</v>
      </c>
      <c r="AG11">
        <v>16776252</v>
      </c>
      <c r="AH11">
        <v>17208184</v>
      </c>
      <c r="AI11">
        <v>16776252</v>
      </c>
      <c r="AJ11" s="1" t="s">
        <v>6</v>
      </c>
      <c r="AL11">
        <v>448504</v>
      </c>
      <c r="AM11">
        <v>448504</v>
      </c>
      <c r="AN11">
        <v>448504</v>
      </c>
      <c r="AO11">
        <v>457003</v>
      </c>
      <c r="AP11">
        <v>448504</v>
      </c>
      <c r="AQ11" s="1" t="s">
        <v>7</v>
      </c>
      <c r="AS11">
        <v>17106440</v>
      </c>
      <c r="AT11">
        <v>17106440</v>
      </c>
      <c r="AU11">
        <v>17106440</v>
      </c>
      <c r="AV11">
        <v>17545577</v>
      </c>
      <c r="AW11">
        <v>17106440</v>
      </c>
      <c r="AX11" s="1" t="s">
        <v>8</v>
      </c>
    </row>
    <row r="12" spans="1:50" x14ac:dyDescent="0.35">
      <c r="A12">
        <v>2792</v>
      </c>
      <c r="B12">
        <v>837</v>
      </c>
      <c r="C12">
        <v>917</v>
      </c>
      <c r="D12">
        <v>783</v>
      </c>
      <c r="E12">
        <v>1067</v>
      </c>
      <c r="F12">
        <v>901</v>
      </c>
      <c r="G12">
        <v>690</v>
      </c>
      <c r="H12">
        <v>648</v>
      </c>
      <c r="I12">
        <v>788</v>
      </c>
      <c r="J12">
        <v>885</v>
      </c>
      <c r="K12">
        <v>773</v>
      </c>
      <c r="L12">
        <v>648</v>
      </c>
      <c r="M12">
        <v>719</v>
      </c>
      <c r="N12">
        <v>725</v>
      </c>
      <c r="O12">
        <v>753</v>
      </c>
      <c r="P12">
        <v>771</v>
      </c>
      <c r="X12">
        <v>356634</v>
      </c>
      <c r="Y12">
        <v>356634</v>
      </c>
      <c r="Z12">
        <v>356634</v>
      </c>
      <c r="AA12">
        <v>364788</v>
      </c>
      <c r="AB12">
        <v>356634</v>
      </c>
      <c r="AC12" s="1" t="s">
        <v>5</v>
      </c>
      <c r="AE12">
        <v>19330880</v>
      </c>
      <c r="AF12">
        <v>19330880</v>
      </c>
      <c r="AG12">
        <v>19330880</v>
      </c>
      <c r="AH12">
        <v>19898968</v>
      </c>
      <c r="AI12">
        <v>19330880</v>
      </c>
      <c r="AJ12" s="1" t="s">
        <v>6</v>
      </c>
      <c r="AL12">
        <v>393553</v>
      </c>
      <c r="AM12">
        <v>393553</v>
      </c>
      <c r="AN12">
        <v>393553</v>
      </c>
      <c r="AO12">
        <v>402339</v>
      </c>
      <c r="AP12">
        <v>393553</v>
      </c>
      <c r="AQ12" s="1" t="s">
        <v>7</v>
      </c>
      <c r="AS12">
        <v>19687514</v>
      </c>
      <c r="AT12">
        <v>19687514</v>
      </c>
      <c r="AU12">
        <v>19687514</v>
      </c>
      <c r="AV12">
        <v>20263756</v>
      </c>
      <c r="AW12">
        <v>19687514</v>
      </c>
      <c r="AX12" s="1" t="s">
        <v>8</v>
      </c>
    </row>
    <row r="13" spans="1:50" x14ac:dyDescent="0.35">
      <c r="A13">
        <v>2856</v>
      </c>
      <c r="B13">
        <v>897</v>
      </c>
      <c r="C13">
        <v>1184</v>
      </c>
      <c r="D13">
        <v>820</v>
      </c>
      <c r="E13">
        <v>1081</v>
      </c>
      <c r="F13">
        <v>990</v>
      </c>
      <c r="G13">
        <v>685</v>
      </c>
      <c r="H13">
        <v>652</v>
      </c>
      <c r="I13">
        <v>884</v>
      </c>
      <c r="J13">
        <v>742</v>
      </c>
      <c r="K13">
        <v>995</v>
      </c>
      <c r="L13">
        <v>638</v>
      </c>
      <c r="M13">
        <v>761</v>
      </c>
      <c r="N13">
        <v>759</v>
      </c>
      <c r="O13">
        <v>887</v>
      </c>
      <c r="P13">
        <v>846</v>
      </c>
      <c r="X13">
        <v>288050</v>
      </c>
      <c r="Y13">
        <v>288050</v>
      </c>
      <c r="Z13">
        <v>288050</v>
      </c>
      <c r="AA13">
        <v>293349</v>
      </c>
      <c r="AB13">
        <v>288050</v>
      </c>
      <c r="AC13" s="1" t="s">
        <v>5</v>
      </c>
      <c r="AE13">
        <v>14311647</v>
      </c>
      <c r="AF13">
        <v>14311647</v>
      </c>
      <c r="AG13">
        <v>14311647</v>
      </c>
      <c r="AH13">
        <v>14640979</v>
      </c>
      <c r="AI13">
        <v>14311647</v>
      </c>
      <c r="AJ13" s="1" t="s">
        <v>6</v>
      </c>
      <c r="AL13">
        <v>233570</v>
      </c>
      <c r="AM13">
        <v>233570</v>
      </c>
      <c r="AN13">
        <v>233570</v>
      </c>
      <c r="AO13">
        <v>237234</v>
      </c>
      <c r="AP13">
        <v>233570</v>
      </c>
      <c r="AQ13" s="1" t="s">
        <v>7</v>
      </c>
      <c r="AS13">
        <v>14599697</v>
      </c>
      <c r="AT13">
        <v>14599697</v>
      </c>
      <c r="AU13">
        <v>14599697</v>
      </c>
      <c r="AV13">
        <v>14934328</v>
      </c>
      <c r="AW13">
        <v>14599697</v>
      </c>
      <c r="AX13" s="1" t="s">
        <v>8</v>
      </c>
    </row>
    <row r="14" spans="1:50" x14ac:dyDescent="0.35">
      <c r="A14">
        <v>2643</v>
      </c>
      <c r="B14">
        <v>625</v>
      </c>
      <c r="C14">
        <v>1913</v>
      </c>
      <c r="D14">
        <v>660</v>
      </c>
      <c r="E14">
        <v>679</v>
      </c>
      <c r="F14">
        <v>675</v>
      </c>
      <c r="G14">
        <v>527</v>
      </c>
      <c r="H14">
        <v>502</v>
      </c>
      <c r="I14">
        <v>600</v>
      </c>
      <c r="J14">
        <v>511</v>
      </c>
      <c r="K14">
        <v>706</v>
      </c>
      <c r="L14">
        <v>571</v>
      </c>
      <c r="M14">
        <v>615</v>
      </c>
      <c r="N14">
        <v>557</v>
      </c>
      <c r="O14">
        <v>723</v>
      </c>
      <c r="P14">
        <v>721</v>
      </c>
      <c r="X14">
        <v>176482</v>
      </c>
      <c r="Y14">
        <v>176482</v>
      </c>
      <c r="Z14">
        <v>176482</v>
      </c>
      <c r="AA14">
        <v>178969</v>
      </c>
      <c r="AB14">
        <v>176482</v>
      </c>
      <c r="AC14" s="1" t="s">
        <v>5</v>
      </c>
      <c r="AE14">
        <v>8913664</v>
      </c>
      <c r="AF14">
        <v>8913664</v>
      </c>
      <c r="AG14">
        <v>8913664</v>
      </c>
      <c r="AH14">
        <v>9024265</v>
      </c>
      <c r="AI14">
        <v>8913664</v>
      </c>
      <c r="AJ14" s="1" t="s">
        <v>6</v>
      </c>
      <c r="AL14">
        <v>236627</v>
      </c>
      <c r="AM14">
        <v>236627</v>
      </c>
      <c r="AN14">
        <v>236627</v>
      </c>
      <c r="AO14">
        <v>240041</v>
      </c>
      <c r="AP14">
        <v>236627</v>
      </c>
      <c r="AQ14" s="1" t="s">
        <v>7</v>
      </c>
      <c r="AS14">
        <v>9090146</v>
      </c>
      <c r="AT14">
        <v>9090146</v>
      </c>
      <c r="AU14">
        <v>9090146</v>
      </c>
      <c r="AV14">
        <v>9203234</v>
      </c>
      <c r="AW14">
        <v>9090146</v>
      </c>
      <c r="AX14" s="1" t="s">
        <v>8</v>
      </c>
    </row>
    <row r="15" spans="1:50" x14ac:dyDescent="0.35">
      <c r="A15">
        <v>3510</v>
      </c>
      <c r="B15">
        <v>1248</v>
      </c>
      <c r="C15">
        <v>1952</v>
      </c>
      <c r="D15">
        <v>889</v>
      </c>
      <c r="E15">
        <v>1221</v>
      </c>
      <c r="F15">
        <v>1136</v>
      </c>
      <c r="G15">
        <v>885</v>
      </c>
      <c r="H15">
        <v>897</v>
      </c>
      <c r="I15">
        <v>1054</v>
      </c>
      <c r="J15">
        <v>838</v>
      </c>
      <c r="K15">
        <v>1110</v>
      </c>
      <c r="L15">
        <v>1806</v>
      </c>
      <c r="M15">
        <v>2582</v>
      </c>
      <c r="N15">
        <v>2494</v>
      </c>
      <c r="O15">
        <v>1233</v>
      </c>
      <c r="P15">
        <v>1336</v>
      </c>
      <c r="X15">
        <v>232445</v>
      </c>
      <c r="Y15">
        <v>232445</v>
      </c>
      <c r="Z15">
        <v>232445</v>
      </c>
      <c r="AA15">
        <v>237137</v>
      </c>
      <c r="AB15">
        <v>232445</v>
      </c>
      <c r="AC15" s="1" t="s">
        <v>5</v>
      </c>
      <c r="AE15">
        <v>12976478</v>
      </c>
      <c r="AF15">
        <v>12976478</v>
      </c>
      <c r="AG15">
        <v>12976478</v>
      </c>
      <c r="AH15">
        <v>13318927</v>
      </c>
      <c r="AI15">
        <v>12976478</v>
      </c>
      <c r="AJ15" s="1" t="s">
        <v>6</v>
      </c>
      <c r="AL15">
        <v>283078</v>
      </c>
      <c r="AM15">
        <v>283078</v>
      </c>
      <c r="AN15">
        <v>283078</v>
      </c>
      <c r="AO15">
        <v>288555</v>
      </c>
      <c r="AP15">
        <v>283078</v>
      </c>
      <c r="AQ15" s="1" t="s">
        <v>7</v>
      </c>
      <c r="AS15">
        <v>13208923</v>
      </c>
      <c r="AT15">
        <v>13208923</v>
      </c>
      <c r="AU15">
        <v>13208923</v>
      </c>
      <c r="AV15">
        <v>13556064</v>
      </c>
      <c r="AW15">
        <v>13208923</v>
      </c>
      <c r="AX15" s="1" t="s">
        <v>8</v>
      </c>
    </row>
    <row r="16" spans="1:50" x14ac:dyDescent="0.35">
      <c r="A16">
        <v>2714</v>
      </c>
      <c r="B16">
        <v>650</v>
      </c>
      <c r="C16">
        <v>647</v>
      </c>
      <c r="D16">
        <v>414</v>
      </c>
      <c r="E16">
        <v>488</v>
      </c>
      <c r="F16">
        <v>609</v>
      </c>
      <c r="G16">
        <v>434</v>
      </c>
      <c r="H16">
        <v>397</v>
      </c>
      <c r="I16">
        <v>591</v>
      </c>
      <c r="J16">
        <v>440</v>
      </c>
      <c r="K16">
        <v>563</v>
      </c>
      <c r="L16">
        <v>484</v>
      </c>
      <c r="M16">
        <v>475</v>
      </c>
      <c r="N16">
        <v>498</v>
      </c>
      <c r="O16">
        <v>521</v>
      </c>
      <c r="P16">
        <v>499</v>
      </c>
      <c r="X16">
        <v>249527</v>
      </c>
      <c r="Y16">
        <v>249527</v>
      </c>
      <c r="Z16">
        <v>249527</v>
      </c>
      <c r="AA16">
        <v>256816</v>
      </c>
      <c r="AB16">
        <v>249527</v>
      </c>
      <c r="AC16" s="1" t="s">
        <v>5</v>
      </c>
      <c r="AE16">
        <v>14203015</v>
      </c>
      <c r="AF16">
        <v>14203015</v>
      </c>
      <c r="AG16">
        <v>14203015</v>
      </c>
      <c r="AH16">
        <v>14581463</v>
      </c>
      <c r="AI16">
        <v>14203015</v>
      </c>
      <c r="AJ16" s="1" t="s">
        <v>6</v>
      </c>
      <c r="AL16">
        <v>283661</v>
      </c>
      <c r="AM16">
        <v>283661</v>
      </c>
      <c r="AN16">
        <v>283661</v>
      </c>
      <c r="AO16">
        <v>290973</v>
      </c>
      <c r="AP16">
        <v>283661</v>
      </c>
      <c r="AQ16" s="1" t="s">
        <v>7</v>
      </c>
      <c r="AS16">
        <v>14452542</v>
      </c>
      <c r="AT16">
        <v>14452542</v>
      </c>
      <c r="AU16">
        <v>14452542</v>
      </c>
      <c r="AV16">
        <v>14838279</v>
      </c>
      <c r="AW16">
        <v>14452542</v>
      </c>
      <c r="AX16" s="1" t="s">
        <v>8</v>
      </c>
    </row>
    <row r="17" spans="1:57" x14ac:dyDescent="0.35">
      <c r="A17">
        <v>7507</v>
      </c>
      <c r="B17">
        <v>4397</v>
      </c>
      <c r="C17">
        <v>2473</v>
      </c>
      <c r="D17">
        <v>2145</v>
      </c>
      <c r="E17">
        <v>2988</v>
      </c>
      <c r="F17">
        <v>3488</v>
      </c>
      <c r="G17">
        <v>2472</v>
      </c>
      <c r="H17">
        <v>1808</v>
      </c>
      <c r="I17">
        <v>7746</v>
      </c>
      <c r="J17">
        <v>2663</v>
      </c>
      <c r="K17">
        <v>2904</v>
      </c>
      <c r="L17">
        <v>2592</v>
      </c>
      <c r="M17">
        <v>2684</v>
      </c>
      <c r="N17">
        <v>2641</v>
      </c>
      <c r="O17">
        <v>3507</v>
      </c>
      <c r="P17">
        <v>3096</v>
      </c>
      <c r="X17">
        <v>165898</v>
      </c>
      <c r="Y17">
        <v>165898</v>
      </c>
      <c r="Z17">
        <v>165898</v>
      </c>
      <c r="AA17">
        <v>167346</v>
      </c>
      <c r="AB17">
        <v>165898</v>
      </c>
      <c r="AC17" s="1" t="s">
        <v>5</v>
      </c>
      <c r="AE17">
        <v>10009192</v>
      </c>
      <c r="AF17">
        <v>10009192</v>
      </c>
      <c r="AG17">
        <v>10009192</v>
      </c>
      <c r="AH17">
        <v>10186195</v>
      </c>
      <c r="AI17">
        <v>10009192</v>
      </c>
      <c r="AJ17" s="1" t="s">
        <v>6</v>
      </c>
      <c r="AL17">
        <v>153556</v>
      </c>
      <c r="AM17">
        <v>153556</v>
      </c>
      <c r="AN17">
        <v>153556</v>
      </c>
      <c r="AO17">
        <v>154916</v>
      </c>
      <c r="AP17">
        <v>153556</v>
      </c>
      <c r="AQ17" s="1" t="s">
        <v>7</v>
      </c>
      <c r="AS17">
        <v>10175090</v>
      </c>
      <c r="AT17">
        <v>10175090</v>
      </c>
      <c r="AU17">
        <v>10175090</v>
      </c>
      <c r="AV17">
        <v>10353541</v>
      </c>
      <c r="AW17">
        <v>10175090</v>
      </c>
      <c r="AX17" s="1" t="s">
        <v>8</v>
      </c>
    </row>
    <row r="18" spans="1:57" x14ac:dyDescent="0.35">
      <c r="A18">
        <v>843</v>
      </c>
      <c r="B18">
        <v>1355</v>
      </c>
      <c r="C18">
        <v>446</v>
      </c>
      <c r="D18">
        <v>113</v>
      </c>
      <c r="E18">
        <v>575</v>
      </c>
      <c r="F18">
        <v>1164</v>
      </c>
      <c r="G18">
        <v>494</v>
      </c>
      <c r="H18">
        <v>106</v>
      </c>
      <c r="I18">
        <v>4885</v>
      </c>
      <c r="J18">
        <v>691</v>
      </c>
      <c r="K18">
        <v>886</v>
      </c>
      <c r="L18">
        <v>702</v>
      </c>
      <c r="M18">
        <v>659</v>
      </c>
      <c r="N18">
        <v>494</v>
      </c>
      <c r="O18">
        <v>960</v>
      </c>
      <c r="P18">
        <v>462</v>
      </c>
      <c r="AL18" t="s">
        <v>9</v>
      </c>
      <c r="AZ18" t="s">
        <v>10</v>
      </c>
    </row>
    <row r="19" spans="1:57" x14ac:dyDescent="0.35">
      <c r="A19">
        <v>577</v>
      </c>
      <c r="B19">
        <v>1523</v>
      </c>
      <c r="C19">
        <v>339</v>
      </c>
      <c r="D19">
        <v>104</v>
      </c>
      <c r="E19">
        <v>686</v>
      </c>
      <c r="F19">
        <v>910</v>
      </c>
      <c r="G19">
        <v>1146</v>
      </c>
      <c r="H19">
        <v>72</v>
      </c>
      <c r="I19">
        <v>4443</v>
      </c>
      <c r="J19">
        <v>1338</v>
      </c>
      <c r="K19">
        <v>629</v>
      </c>
      <c r="L19">
        <v>715</v>
      </c>
      <c r="M19">
        <v>597</v>
      </c>
      <c r="N19">
        <v>1184</v>
      </c>
      <c r="O19">
        <v>1255</v>
      </c>
      <c r="P19">
        <v>338</v>
      </c>
      <c r="AL19">
        <v>10663196</v>
      </c>
      <c r="AM19">
        <v>10663196</v>
      </c>
      <c r="AN19">
        <v>10663196</v>
      </c>
      <c r="AO19">
        <v>10841299</v>
      </c>
      <c r="AP19">
        <v>10663196</v>
      </c>
      <c r="AQ19" s="1" t="s">
        <v>11</v>
      </c>
      <c r="AS19">
        <v>7774700</v>
      </c>
      <c r="AT19">
        <v>7774700</v>
      </c>
      <c r="AU19">
        <v>7774700</v>
      </c>
      <c r="AV19">
        <v>7850437</v>
      </c>
      <c r="AW19">
        <v>7774700</v>
      </c>
      <c r="AX19" s="1" t="s">
        <v>8</v>
      </c>
      <c r="AZ19">
        <v>2888496</v>
      </c>
      <c r="BA19">
        <v>2888496</v>
      </c>
      <c r="BB19">
        <v>2888496</v>
      </c>
      <c r="BC19">
        <v>2990862</v>
      </c>
      <c r="BD19">
        <v>2888496</v>
      </c>
      <c r="BE19" s="2">
        <v>-27660700000000</v>
      </c>
    </row>
    <row r="20" spans="1:57" x14ac:dyDescent="0.35">
      <c r="A20">
        <v>677</v>
      </c>
      <c r="B20">
        <v>1416</v>
      </c>
      <c r="C20">
        <v>390</v>
      </c>
      <c r="D20">
        <v>62</v>
      </c>
      <c r="E20">
        <v>446</v>
      </c>
      <c r="F20">
        <v>840</v>
      </c>
      <c r="G20">
        <v>373</v>
      </c>
      <c r="H20">
        <v>80</v>
      </c>
      <c r="I20">
        <v>3963</v>
      </c>
      <c r="J20">
        <v>576</v>
      </c>
      <c r="K20">
        <v>674</v>
      </c>
      <c r="L20">
        <v>574</v>
      </c>
      <c r="M20">
        <v>587</v>
      </c>
      <c r="N20">
        <v>471</v>
      </c>
      <c r="O20">
        <v>687</v>
      </c>
      <c r="P20">
        <v>322</v>
      </c>
      <c r="AL20">
        <v>11037812</v>
      </c>
      <c r="AM20">
        <v>11037812</v>
      </c>
      <c r="AN20">
        <v>11037812</v>
      </c>
      <c r="AO20">
        <v>11358247</v>
      </c>
      <c r="AP20">
        <v>11037812</v>
      </c>
      <c r="AQ20" s="1" t="s">
        <v>11</v>
      </c>
      <c r="AS20">
        <v>11856909</v>
      </c>
      <c r="AT20">
        <v>11856909</v>
      </c>
      <c r="AU20">
        <v>11856909</v>
      </c>
      <c r="AV20">
        <v>12155724</v>
      </c>
      <c r="AW20">
        <v>11856909</v>
      </c>
      <c r="AX20" s="1" t="s">
        <v>8</v>
      </c>
      <c r="AZ20">
        <v>-819097</v>
      </c>
      <c r="BA20">
        <v>-819097</v>
      </c>
      <c r="BB20">
        <v>-819097</v>
      </c>
      <c r="BC20">
        <v>-797477</v>
      </c>
      <c r="BD20">
        <v>-819097</v>
      </c>
      <c r="BE20" s="2">
        <v>-27660700000000</v>
      </c>
    </row>
    <row r="21" spans="1:57" x14ac:dyDescent="0.35">
      <c r="A21">
        <v>851</v>
      </c>
      <c r="B21">
        <v>1747</v>
      </c>
      <c r="C21">
        <v>659</v>
      </c>
      <c r="D21">
        <v>99</v>
      </c>
      <c r="E21">
        <v>440</v>
      </c>
      <c r="F21">
        <v>1104</v>
      </c>
      <c r="G21">
        <v>397</v>
      </c>
      <c r="H21">
        <v>97</v>
      </c>
      <c r="I21">
        <v>4459</v>
      </c>
      <c r="J21">
        <v>797</v>
      </c>
      <c r="K21">
        <v>957</v>
      </c>
      <c r="L21">
        <v>681</v>
      </c>
      <c r="M21">
        <v>726</v>
      </c>
      <c r="N21">
        <v>516</v>
      </c>
      <c r="O21">
        <v>841</v>
      </c>
      <c r="P21">
        <v>378</v>
      </c>
      <c r="AL21">
        <v>14179057</v>
      </c>
      <c r="AM21">
        <v>14179057</v>
      </c>
      <c r="AN21">
        <v>14179057</v>
      </c>
      <c r="AO21">
        <v>14534241</v>
      </c>
      <c r="AP21">
        <v>14179057</v>
      </c>
      <c r="AQ21" s="1" t="s">
        <v>11</v>
      </c>
      <c r="AS21">
        <v>18977516</v>
      </c>
      <c r="AT21">
        <v>18977516</v>
      </c>
      <c r="AU21">
        <v>18977516</v>
      </c>
      <c r="AV21">
        <v>19502602</v>
      </c>
      <c r="AW21">
        <v>18977516</v>
      </c>
      <c r="AX21" s="1" t="s">
        <v>8</v>
      </c>
      <c r="AZ21">
        <v>-4798459</v>
      </c>
      <c r="BA21">
        <v>-4798459</v>
      </c>
      <c r="BB21">
        <v>-4798459</v>
      </c>
      <c r="BC21">
        <v>-4968361</v>
      </c>
      <c r="BD21">
        <v>-4798459</v>
      </c>
      <c r="BE21" s="2">
        <v>-27660700000000</v>
      </c>
    </row>
    <row r="22" spans="1:57" x14ac:dyDescent="0.35">
      <c r="A22">
        <v>783</v>
      </c>
      <c r="B22">
        <v>1962</v>
      </c>
      <c r="C22">
        <v>471</v>
      </c>
      <c r="D22">
        <v>89</v>
      </c>
      <c r="E22">
        <v>575</v>
      </c>
      <c r="F22">
        <v>943</v>
      </c>
      <c r="G22">
        <v>468</v>
      </c>
      <c r="H22">
        <v>101</v>
      </c>
      <c r="I22">
        <v>4557</v>
      </c>
      <c r="J22">
        <v>820</v>
      </c>
      <c r="K22">
        <v>1013</v>
      </c>
      <c r="L22">
        <v>687</v>
      </c>
      <c r="M22">
        <v>725</v>
      </c>
      <c r="N22">
        <v>536</v>
      </c>
      <c r="O22">
        <v>1348</v>
      </c>
      <c r="P22">
        <v>451</v>
      </c>
      <c r="AL22">
        <v>10173728</v>
      </c>
      <c r="AM22">
        <v>10173728</v>
      </c>
      <c r="AN22">
        <v>10173728</v>
      </c>
      <c r="AO22">
        <v>10337133</v>
      </c>
      <c r="AP22">
        <v>10173728</v>
      </c>
      <c r="AQ22" s="1" t="s">
        <v>11</v>
      </c>
      <c r="AS22">
        <v>10921526</v>
      </c>
      <c r="AT22">
        <v>10921526</v>
      </c>
      <c r="AU22">
        <v>10921526</v>
      </c>
      <c r="AV22">
        <v>11094135</v>
      </c>
      <c r="AW22">
        <v>10921526</v>
      </c>
      <c r="AX22" s="1" t="s">
        <v>8</v>
      </c>
      <c r="AZ22">
        <v>-747798</v>
      </c>
      <c r="BA22">
        <v>-747798</v>
      </c>
      <c r="BB22">
        <v>-747798</v>
      </c>
      <c r="BC22">
        <v>-757002</v>
      </c>
      <c r="BD22">
        <v>-747798</v>
      </c>
      <c r="BE22" s="2">
        <v>-27660700000000</v>
      </c>
    </row>
    <row r="23" spans="1:57" x14ac:dyDescent="0.35">
      <c r="A23">
        <v>626</v>
      </c>
      <c r="B23">
        <v>1463</v>
      </c>
      <c r="C23">
        <v>357</v>
      </c>
      <c r="D23">
        <v>64</v>
      </c>
      <c r="E23">
        <v>379</v>
      </c>
      <c r="F23">
        <v>826</v>
      </c>
      <c r="G23">
        <v>324</v>
      </c>
      <c r="H23">
        <v>98</v>
      </c>
      <c r="I23">
        <v>4336</v>
      </c>
      <c r="J23">
        <v>572</v>
      </c>
      <c r="K23">
        <v>697</v>
      </c>
      <c r="L23">
        <v>532</v>
      </c>
      <c r="M23">
        <v>541</v>
      </c>
      <c r="N23">
        <v>480</v>
      </c>
      <c r="O23">
        <v>682</v>
      </c>
      <c r="P23">
        <v>332</v>
      </c>
      <c r="AL23">
        <v>10738356</v>
      </c>
      <c r="AM23">
        <v>10738356</v>
      </c>
      <c r="AN23">
        <v>10738356</v>
      </c>
      <c r="AO23">
        <v>10957537</v>
      </c>
      <c r="AP23">
        <v>10738356</v>
      </c>
      <c r="AQ23" s="1" t="s">
        <v>11</v>
      </c>
      <c r="AS23">
        <v>9096795</v>
      </c>
      <c r="AT23">
        <v>9096795</v>
      </c>
      <c r="AU23">
        <v>9096795</v>
      </c>
      <c r="AV23">
        <v>9278127</v>
      </c>
      <c r="AW23">
        <v>9096795</v>
      </c>
      <c r="AX23" s="1" t="s">
        <v>8</v>
      </c>
      <c r="AZ23">
        <v>1641561</v>
      </c>
      <c r="BA23">
        <v>1641561</v>
      </c>
      <c r="BB23">
        <v>1641561</v>
      </c>
      <c r="BC23">
        <v>1679410</v>
      </c>
      <c r="BD23">
        <v>1641561</v>
      </c>
      <c r="BE23" s="2">
        <v>-27660700000000</v>
      </c>
    </row>
    <row r="24" spans="1:57" x14ac:dyDescent="0.35">
      <c r="A24">
        <v>483</v>
      </c>
      <c r="B24">
        <v>1285</v>
      </c>
      <c r="C24">
        <v>298</v>
      </c>
      <c r="D24">
        <v>50</v>
      </c>
      <c r="E24">
        <v>373</v>
      </c>
      <c r="F24">
        <v>757</v>
      </c>
      <c r="G24">
        <v>303</v>
      </c>
      <c r="H24">
        <v>56</v>
      </c>
      <c r="I24">
        <v>3880</v>
      </c>
      <c r="J24">
        <v>534</v>
      </c>
      <c r="K24">
        <v>645</v>
      </c>
      <c r="L24">
        <v>462</v>
      </c>
      <c r="M24">
        <v>478</v>
      </c>
      <c r="N24">
        <v>383</v>
      </c>
      <c r="O24">
        <v>652</v>
      </c>
      <c r="P24">
        <v>304</v>
      </c>
      <c r="AL24">
        <v>15698915</v>
      </c>
      <c r="AM24">
        <v>15698915</v>
      </c>
      <c r="AN24">
        <v>15698915</v>
      </c>
      <c r="AO24">
        <v>16188186</v>
      </c>
      <c r="AP24">
        <v>15698915</v>
      </c>
      <c r="AQ24" s="1" t="s">
        <v>11</v>
      </c>
      <c r="AS24">
        <v>16232770</v>
      </c>
      <c r="AT24">
        <v>16232770</v>
      </c>
      <c r="AU24">
        <v>16232770</v>
      </c>
      <c r="AV24">
        <v>16750740</v>
      </c>
      <c r="AW24">
        <v>16232770</v>
      </c>
      <c r="AX24" s="1" t="s">
        <v>8</v>
      </c>
      <c r="AZ24">
        <v>-533855</v>
      </c>
      <c r="BA24">
        <v>-533855</v>
      </c>
      <c r="BB24">
        <v>-533855</v>
      </c>
      <c r="BC24">
        <v>-562554</v>
      </c>
      <c r="BD24">
        <v>-533855</v>
      </c>
      <c r="BE24" s="2">
        <v>-27660700000000</v>
      </c>
    </row>
    <row r="25" spans="1:57" x14ac:dyDescent="0.35">
      <c r="A25">
        <v>726</v>
      </c>
      <c r="B25">
        <v>1622</v>
      </c>
      <c r="C25">
        <v>494</v>
      </c>
      <c r="D25">
        <v>95</v>
      </c>
      <c r="E25">
        <v>590</v>
      </c>
      <c r="F25">
        <v>1074</v>
      </c>
      <c r="G25">
        <v>452</v>
      </c>
      <c r="H25">
        <v>120</v>
      </c>
      <c r="I25">
        <v>3735</v>
      </c>
      <c r="J25">
        <v>685</v>
      </c>
      <c r="K25">
        <v>937</v>
      </c>
      <c r="L25">
        <v>719</v>
      </c>
      <c r="M25">
        <v>713</v>
      </c>
      <c r="N25">
        <v>679</v>
      </c>
      <c r="O25">
        <v>883</v>
      </c>
      <c r="P25">
        <v>509</v>
      </c>
      <c r="AL25">
        <v>18057142</v>
      </c>
      <c r="AM25">
        <v>18057142</v>
      </c>
      <c r="AN25">
        <v>18057142</v>
      </c>
      <c r="AO25">
        <v>18543320</v>
      </c>
      <c r="AP25">
        <v>18057142</v>
      </c>
      <c r="AQ25" s="1" t="s">
        <v>11</v>
      </c>
      <c r="AS25">
        <v>20395662</v>
      </c>
      <c r="AT25">
        <v>20395662</v>
      </c>
      <c r="AU25">
        <v>20395662</v>
      </c>
      <c r="AV25">
        <v>20996934</v>
      </c>
      <c r="AW25">
        <v>20395662</v>
      </c>
      <c r="AX25" s="1" t="s">
        <v>8</v>
      </c>
      <c r="AZ25">
        <v>-2338520</v>
      </c>
      <c r="BA25">
        <v>-2338520</v>
      </c>
      <c r="BB25">
        <v>-2338520</v>
      </c>
      <c r="BC25">
        <v>-2453614</v>
      </c>
      <c r="BD25">
        <v>-2338520</v>
      </c>
      <c r="BE25" s="2">
        <v>-27660700000000</v>
      </c>
    </row>
    <row r="26" spans="1:57" x14ac:dyDescent="0.35">
      <c r="A26">
        <v>521</v>
      </c>
      <c r="B26">
        <v>1236</v>
      </c>
      <c r="C26">
        <v>406</v>
      </c>
      <c r="D26">
        <v>68</v>
      </c>
      <c r="E26">
        <v>585</v>
      </c>
      <c r="F26">
        <v>905</v>
      </c>
      <c r="G26">
        <v>346</v>
      </c>
      <c r="H26">
        <v>64</v>
      </c>
      <c r="I26">
        <v>3937</v>
      </c>
      <c r="J26">
        <v>491</v>
      </c>
      <c r="K26">
        <v>644</v>
      </c>
      <c r="L26">
        <v>635</v>
      </c>
      <c r="M26">
        <v>568</v>
      </c>
      <c r="N26">
        <v>424</v>
      </c>
      <c r="O26">
        <v>662</v>
      </c>
      <c r="P26">
        <v>345</v>
      </c>
      <c r="AL26">
        <v>14138471</v>
      </c>
      <c r="AM26">
        <v>14138471</v>
      </c>
      <c r="AN26">
        <v>14138471</v>
      </c>
      <c r="AO26">
        <v>14483557</v>
      </c>
      <c r="AP26">
        <v>14138471</v>
      </c>
      <c r="AQ26" s="1" t="s">
        <v>11</v>
      </c>
      <c r="AS26">
        <v>14901963</v>
      </c>
      <c r="AT26">
        <v>14901963</v>
      </c>
      <c r="AU26">
        <v>14901963</v>
      </c>
      <c r="AV26">
        <v>15270155</v>
      </c>
      <c r="AW26">
        <v>14901963</v>
      </c>
      <c r="AX26" s="1" t="s">
        <v>8</v>
      </c>
      <c r="AZ26">
        <v>-763492</v>
      </c>
      <c r="BA26">
        <v>-763492</v>
      </c>
      <c r="BB26">
        <v>-763492</v>
      </c>
      <c r="BC26">
        <v>-786598</v>
      </c>
      <c r="BD26">
        <v>-763492</v>
      </c>
      <c r="BE26" s="2">
        <v>-27660700000000</v>
      </c>
    </row>
    <row r="27" spans="1:57" x14ac:dyDescent="0.35">
      <c r="A27">
        <v>578</v>
      </c>
      <c r="B27">
        <v>1407</v>
      </c>
      <c r="C27">
        <v>472</v>
      </c>
      <c r="D27">
        <v>84</v>
      </c>
      <c r="E27">
        <v>605</v>
      </c>
      <c r="F27">
        <v>1215</v>
      </c>
      <c r="G27">
        <v>386</v>
      </c>
      <c r="H27">
        <v>101</v>
      </c>
      <c r="I27">
        <v>5123</v>
      </c>
      <c r="J27">
        <v>646</v>
      </c>
      <c r="K27">
        <v>674</v>
      </c>
      <c r="L27">
        <v>621</v>
      </c>
      <c r="M27">
        <v>682</v>
      </c>
      <c r="N27">
        <v>513</v>
      </c>
      <c r="O27">
        <v>1000</v>
      </c>
      <c r="P27">
        <v>414</v>
      </c>
      <c r="AL27">
        <v>13001815</v>
      </c>
      <c r="AM27">
        <v>13001815</v>
      </c>
      <c r="AN27">
        <v>13001815</v>
      </c>
      <c r="AO27">
        <v>13229532</v>
      </c>
      <c r="AP27">
        <v>13001815</v>
      </c>
      <c r="AQ27" s="1" t="s">
        <v>11</v>
      </c>
      <c r="AS27">
        <v>11787103</v>
      </c>
      <c r="AT27">
        <v>11787103</v>
      </c>
      <c r="AU27">
        <v>11787103</v>
      </c>
      <c r="AV27">
        <v>11980044</v>
      </c>
      <c r="AW27">
        <v>11787103</v>
      </c>
      <c r="AX27" s="1" t="s">
        <v>8</v>
      </c>
      <c r="AZ27">
        <v>1214712</v>
      </c>
      <c r="BA27">
        <v>1214712</v>
      </c>
      <c r="BB27">
        <v>1214712</v>
      </c>
      <c r="BC27">
        <v>1249488</v>
      </c>
      <c r="BD27">
        <v>1214712</v>
      </c>
      <c r="BE27" s="2">
        <v>-27660700000000</v>
      </c>
    </row>
    <row r="28" spans="1:57" x14ac:dyDescent="0.35">
      <c r="A28">
        <v>544</v>
      </c>
      <c r="B28">
        <v>1908</v>
      </c>
      <c r="C28">
        <v>391</v>
      </c>
      <c r="D28">
        <v>75</v>
      </c>
      <c r="E28">
        <v>439</v>
      </c>
      <c r="F28">
        <v>1606</v>
      </c>
      <c r="G28">
        <v>383</v>
      </c>
      <c r="H28">
        <v>64</v>
      </c>
      <c r="I28">
        <v>4244</v>
      </c>
      <c r="J28">
        <v>563</v>
      </c>
      <c r="K28">
        <v>1644</v>
      </c>
      <c r="L28">
        <v>485</v>
      </c>
      <c r="M28">
        <v>1215</v>
      </c>
      <c r="N28">
        <v>469</v>
      </c>
      <c r="O28">
        <v>1279</v>
      </c>
      <c r="P28">
        <v>385</v>
      </c>
      <c r="AL28">
        <v>16926975</v>
      </c>
      <c r="AM28">
        <v>16926975</v>
      </c>
      <c r="AN28">
        <v>16926975</v>
      </c>
      <c r="AO28">
        <v>17350940</v>
      </c>
      <c r="AP28">
        <v>16926975</v>
      </c>
      <c r="AQ28" s="1" t="s">
        <v>11</v>
      </c>
      <c r="AS28">
        <v>17106440</v>
      </c>
      <c r="AT28">
        <v>17106440</v>
      </c>
      <c r="AU28">
        <v>17106440</v>
      </c>
      <c r="AV28">
        <v>17545577</v>
      </c>
      <c r="AW28">
        <v>17106440</v>
      </c>
      <c r="AX28" s="1" t="s">
        <v>8</v>
      </c>
      <c r="AZ28">
        <v>-179465</v>
      </c>
      <c r="BA28">
        <v>-179465</v>
      </c>
      <c r="BB28">
        <v>-179465</v>
      </c>
      <c r="BC28">
        <v>-194637</v>
      </c>
      <c r="BD28">
        <v>-179465</v>
      </c>
      <c r="BE28" s="2">
        <v>-27660700000000</v>
      </c>
    </row>
    <row r="29" spans="1:57" x14ac:dyDescent="0.35">
      <c r="A29">
        <v>627</v>
      </c>
      <c r="B29">
        <v>1317</v>
      </c>
      <c r="C29">
        <v>446</v>
      </c>
      <c r="D29">
        <v>88</v>
      </c>
      <c r="E29">
        <v>489</v>
      </c>
      <c r="F29">
        <v>979</v>
      </c>
      <c r="G29">
        <v>379</v>
      </c>
      <c r="H29">
        <v>92</v>
      </c>
      <c r="I29">
        <v>4400</v>
      </c>
      <c r="J29">
        <v>574</v>
      </c>
      <c r="K29">
        <v>782</v>
      </c>
      <c r="L29">
        <v>1003</v>
      </c>
      <c r="M29">
        <v>554</v>
      </c>
      <c r="N29">
        <v>717</v>
      </c>
      <c r="O29">
        <v>1862</v>
      </c>
      <c r="P29">
        <v>385</v>
      </c>
      <c r="AL29">
        <v>18534380</v>
      </c>
      <c r="AM29">
        <v>18534380</v>
      </c>
      <c r="AN29">
        <v>18534380</v>
      </c>
      <c r="AO29">
        <v>19166003</v>
      </c>
      <c r="AP29">
        <v>18534380</v>
      </c>
      <c r="AQ29" s="1" t="s">
        <v>11</v>
      </c>
      <c r="AS29">
        <v>19687514</v>
      </c>
      <c r="AT29">
        <v>19687514</v>
      </c>
      <c r="AU29">
        <v>19687514</v>
      </c>
      <c r="AV29">
        <v>20263756</v>
      </c>
      <c r="AW29">
        <v>19687514</v>
      </c>
      <c r="AX29" s="1" t="s">
        <v>8</v>
      </c>
      <c r="AZ29">
        <v>-1153134</v>
      </c>
      <c r="BA29">
        <v>-1153134</v>
      </c>
      <c r="BB29">
        <v>-1153134</v>
      </c>
      <c r="BC29">
        <v>-1097753</v>
      </c>
      <c r="BD29">
        <v>-1153134</v>
      </c>
      <c r="BE29" s="2">
        <v>-27660700000000</v>
      </c>
    </row>
    <row r="30" spans="1:57" x14ac:dyDescent="0.35">
      <c r="A30">
        <v>707</v>
      </c>
      <c r="B30">
        <v>1202</v>
      </c>
      <c r="C30">
        <v>395</v>
      </c>
      <c r="D30">
        <v>92</v>
      </c>
      <c r="E30">
        <v>456</v>
      </c>
      <c r="F30">
        <v>854</v>
      </c>
      <c r="G30">
        <v>424</v>
      </c>
      <c r="H30">
        <v>85</v>
      </c>
      <c r="I30">
        <v>4097</v>
      </c>
      <c r="J30">
        <v>640</v>
      </c>
      <c r="K30">
        <v>798</v>
      </c>
      <c r="L30">
        <v>603</v>
      </c>
      <c r="M30">
        <v>726</v>
      </c>
      <c r="N30">
        <v>444</v>
      </c>
      <c r="O30">
        <v>1866</v>
      </c>
      <c r="P30">
        <v>446</v>
      </c>
      <c r="AL30">
        <v>14287028</v>
      </c>
      <c r="AM30">
        <v>14287028</v>
      </c>
      <c r="AN30">
        <v>14287028</v>
      </c>
      <c r="AO30">
        <v>14636016</v>
      </c>
      <c r="AP30">
        <v>14287028</v>
      </c>
      <c r="AQ30" s="1" t="s">
        <v>11</v>
      </c>
      <c r="AS30">
        <v>14599697</v>
      </c>
      <c r="AT30">
        <v>14599697</v>
      </c>
      <c r="AU30">
        <v>14599697</v>
      </c>
      <c r="AV30">
        <v>14934328</v>
      </c>
      <c r="AW30">
        <v>14599697</v>
      </c>
      <c r="AX30" s="1" t="s">
        <v>8</v>
      </c>
      <c r="AZ30">
        <v>-312669</v>
      </c>
      <c r="BA30">
        <v>-312669</v>
      </c>
      <c r="BB30">
        <v>-312669</v>
      </c>
      <c r="BC30">
        <v>-298312</v>
      </c>
      <c r="BD30">
        <v>-312669</v>
      </c>
      <c r="BE30" s="2">
        <v>-27660700000000</v>
      </c>
    </row>
    <row r="31" spans="1:57" x14ac:dyDescent="0.35">
      <c r="A31">
        <v>846</v>
      </c>
      <c r="B31">
        <v>1467</v>
      </c>
      <c r="C31">
        <v>394</v>
      </c>
      <c r="D31">
        <v>102</v>
      </c>
      <c r="E31">
        <v>497</v>
      </c>
      <c r="F31">
        <v>1346</v>
      </c>
      <c r="G31">
        <v>441</v>
      </c>
      <c r="H31">
        <v>123</v>
      </c>
      <c r="I31">
        <v>4556</v>
      </c>
      <c r="J31">
        <v>572</v>
      </c>
      <c r="K31">
        <v>1137</v>
      </c>
      <c r="L31">
        <v>592</v>
      </c>
      <c r="M31">
        <v>660</v>
      </c>
      <c r="N31">
        <v>593</v>
      </c>
      <c r="O31">
        <v>876</v>
      </c>
      <c r="P31">
        <v>463</v>
      </c>
      <c r="AL31">
        <v>9770045</v>
      </c>
      <c r="AM31">
        <v>9770045</v>
      </c>
      <c r="AN31">
        <v>9770045</v>
      </c>
      <c r="AO31">
        <v>9889742</v>
      </c>
      <c r="AP31">
        <v>9770045</v>
      </c>
      <c r="AQ31" s="1" t="s">
        <v>11</v>
      </c>
      <c r="AS31">
        <v>9090146</v>
      </c>
      <c r="AT31">
        <v>9090146</v>
      </c>
      <c r="AU31">
        <v>9090146</v>
      </c>
      <c r="AV31">
        <v>9203234</v>
      </c>
      <c r="AW31">
        <v>9090146</v>
      </c>
      <c r="AX31" s="1" t="s">
        <v>8</v>
      </c>
      <c r="AZ31">
        <v>679899</v>
      </c>
      <c r="BA31">
        <v>679899</v>
      </c>
      <c r="BB31">
        <v>679899</v>
      </c>
      <c r="BC31">
        <v>686508</v>
      </c>
      <c r="BD31">
        <v>679899</v>
      </c>
      <c r="BE31" s="2">
        <v>-27660700000000</v>
      </c>
    </row>
    <row r="32" spans="1:57" x14ac:dyDescent="0.35">
      <c r="A32">
        <v>1198</v>
      </c>
      <c r="B32">
        <v>1411</v>
      </c>
      <c r="C32">
        <v>449</v>
      </c>
      <c r="D32">
        <v>81</v>
      </c>
      <c r="E32">
        <v>517</v>
      </c>
      <c r="F32">
        <v>1053</v>
      </c>
      <c r="G32">
        <v>494</v>
      </c>
      <c r="H32">
        <v>99</v>
      </c>
      <c r="I32">
        <v>4545</v>
      </c>
      <c r="J32">
        <v>741</v>
      </c>
      <c r="K32">
        <v>860</v>
      </c>
      <c r="L32">
        <v>626</v>
      </c>
      <c r="M32">
        <v>691</v>
      </c>
      <c r="N32">
        <v>563</v>
      </c>
      <c r="O32">
        <v>1009</v>
      </c>
      <c r="P32">
        <v>385</v>
      </c>
      <c r="AL32">
        <v>13816974</v>
      </c>
      <c r="AM32">
        <v>13816974</v>
      </c>
      <c r="AN32">
        <v>13816974</v>
      </c>
      <c r="AO32">
        <v>14121501</v>
      </c>
      <c r="AP32">
        <v>13816974</v>
      </c>
      <c r="AQ32" s="1" t="s">
        <v>11</v>
      </c>
      <c r="AS32">
        <v>13208923</v>
      </c>
      <c r="AT32">
        <v>13208923</v>
      </c>
      <c r="AU32">
        <v>13208923</v>
      </c>
      <c r="AV32">
        <v>13556064</v>
      </c>
      <c r="AW32">
        <v>13208923</v>
      </c>
      <c r="AX32" s="1" t="s">
        <v>8</v>
      </c>
      <c r="AZ32">
        <v>608051</v>
      </c>
      <c r="BA32">
        <v>608051</v>
      </c>
      <c r="BB32">
        <v>608051</v>
      </c>
      <c r="BC32">
        <v>565437</v>
      </c>
      <c r="BD32">
        <v>608051</v>
      </c>
      <c r="BE32" s="2">
        <v>-27660700000000</v>
      </c>
    </row>
    <row r="33" spans="1:57" x14ac:dyDescent="0.35">
      <c r="A33">
        <v>418495</v>
      </c>
      <c r="B33">
        <v>418495</v>
      </c>
      <c r="C33">
        <v>418495</v>
      </c>
      <c r="D33">
        <v>428577</v>
      </c>
      <c r="E33">
        <v>418495</v>
      </c>
      <c r="F33" s="1" t="s">
        <v>7</v>
      </c>
      <c r="AL33">
        <v>15676590</v>
      </c>
      <c r="AM33">
        <v>15676590</v>
      </c>
      <c r="AN33">
        <v>15676590</v>
      </c>
      <c r="AO33">
        <v>16082959</v>
      </c>
      <c r="AP33">
        <v>15676590</v>
      </c>
      <c r="AQ33" s="1" t="s">
        <v>11</v>
      </c>
      <c r="AS33">
        <v>14452542</v>
      </c>
      <c r="AT33">
        <v>14452542</v>
      </c>
      <c r="AU33">
        <v>14452542</v>
      </c>
      <c r="AV33">
        <v>14838279</v>
      </c>
      <c r="AW33">
        <v>14452542</v>
      </c>
      <c r="AX33" s="1" t="s">
        <v>8</v>
      </c>
      <c r="AZ33">
        <v>1224048</v>
      </c>
      <c r="BA33">
        <v>1224048</v>
      </c>
      <c r="BB33">
        <v>1224048</v>
      </c>
      <c r="BC33">
        <v>1244680</v>
      </c>
      <c r="BD33">
        <v>1224048</v>
      </c>
      <c r="BE33" s="2">
        <v>-27660700000000</v>
      </c>
    </row>
    <row r="34" spans="1:57" x14ac:dyDescent="0.35">
      <c r="A34">
        <v>448928</v>
      </c>
      <c r="B34">
        <v>448928</v>
      </c>
      <c r="C34">
        <v>448928</v>
      </c>
      <c r="D34">
        <v>460158</v>
      </c>
      <c r="E34">
        <v>448928</v>
      </c>
      <c r="F34" s="1" t="s">
        <v>7</v>
      </c>
      <c r="AL34">
        <v>10247059</v>
      </c>
      <c r="AM34">
        <v>10247059</v>
      </c>
      <c r="AN34">
        <v>10247059</v>
      </c>
      <c r="AO34">
        <v>10416004</v>
      </c>
      <c r="AP34">
        <v>10247059</v>
      </c>
      <c r="AQ34" s="1" t="s">
        <v>11</v>
      </c>
      <c r="AS34">
        <v>10175090</v>
      </c>
      <c r="AT34">
        <v>10175090</v>
      </c>
      <c r="AU34">
        <v>10175090</v>
      </c>
      <c r="AV34">
        <v>10353541</v>
      </c>
      <c r="AW34">
        <v>10175090</v>
      </c>
      <c r="AX34" s="1" t="s">
        <v>8</v>
      </c>
      <c r="AZ34">
        <v>71969</v>
      </c>
      <c r="BA34">
        <v>71969</v>
      </c>
      <c r="BB34">
        <v>71969</v>
      </c>
      <c r="BC34">
        <v>62463</v>
      </c>
      <c r="BD34">
        <v>71969</v>
      </c>
      <c r="BE34" s="2">
        <v>-27660700000000</v>
      </c>
    </row>
    <row r="35" spans="1:57" x14ac:dyDescent="0.35">
      <c r="A35">
        <v>307770</v>
      </c>
      <c r="B35">
        <v>307770</v>
      </c>
      <c r="C35">
        <v>307770</v>
      </c>
      <c r="D35">
        <v>312150</v>
      </c>
      <c r="E35">
        <v>307770</v>
      </c>
      <c r="F35" s="1" t="s">
        <v>7</v>
      </c>
      <c r="AL35" t="s">
        <v>15</v>
      </c>
      <c r="AZ35" t="s">
        <v>10</v>
      </c>
    </row>
    <row r="36" spans="1:57" x14ac:dyDescent="0.35">
      <c r="A36">
        <v>144614</v>
      </c>
      <c r="B36">
        <v>144614</v>
      </c>
      <c r="C36">
        <v>144614</v>
      </c>
      <c r="D36">
        <v>145272</v>
      </c>
      <c r="E36">
        <v>144614</v>
      </c>
      <c r="F36" s="1" t="s">
        <v>7</v>
      </c>
      <c r="AL36">
        <v>910064</v>
      </c>
      <c r="AM36">
        <v>910064</v>
      </c>
      <c r="AN36">
        <v>910061</v>
      </c>
      <c r="AO36">
        <v>930059</v>
      </c>
      <c r="AP36">
        <v>910061</v>
      </c>
      <c r="AQ36">
        <v>27300730619989</v>
      </c>
      <c r="AS36">
        <v>7774700</v>
      </c>
      <c r="AT36">
        <v>7774700</v>
      </c>
      <c r="AU36">
        <v>7774700</v>
      </c>
      <c r="AV36">
        <v>7850437</v>
      </c>
      <c r="AW36">
        <v>7774700</v>
      </c>
      <c r="AX36" s="1" t="s">
        <v>8</v>
      </c>
      <c r="AZ36">
        <f>AS36-AL36</f>
        <v>6864636</v>
      </c>
      <c r="BA36">
        <f t="shared" ref="BA36:BE51" si="0">AT36-AM36</f>
        <v>6864636</v>
      </c>
      <c r="BB36">
        <f t="shared" si="0"/>
        <v>6864639</v>
      </c>
      <c r="BC36">
        <f t="shared" si="0"/>
        <v>6920378</v>
      </c>
      <c r="BD36">
        <f t="shared" si="0"/>
        <v>6864639</v>
      </c>
      <c r="BE36">
        <f t="shared" si="0"/>
        <v>28499269380011</v>
      </c>
    </row>
    <row r="37" spans="1:57" x14ac:dyDescent="0.35">
      <c r="A37">
        <v>385386</v>
      </c>
      <c r="B37">
        <v>385386</v>
      </c>
      <c r="C37">
        <v>385386</v>
      </c>
      <c r="D37">
        <v>394298</v>
      </c>
      <c r="E37">
        <v>385386</v>
      </c>
      <c r="F37" s="1" t="s">
        <v>7</v>
      </c>
      <c r="AL37">
        <v>842056</v>
      </c>
      <c r="AM37">
        <v>842056</v>
      </c>
      <c r="AN37">
        <v>842054</v>
      </c>
      <c r="AO37">
        <v>861408</v>
      </c>
      <c r="AP37">
        <v>842054</v>
      </c>
      <c r="AQ37">
        <v>27300730619989</v>
      </c>
      <c r="AS37">
        <v>11856909</v>
      </c>
      <c r="AT37">
        <v>11856909</v>
      </c>
      <c r="AU37">
        <v>11856909</v>
      </c>
      <c r="AV37">
        <v>12155724</v>
      </c>
      <c r="AW37">
        <v>11856909</v>
      </c>
      <c r="AX37" s="1" t="s">
        <v>8</v>
      </c>
      <c r="AZ37">
        <f t="shared" ref="AZ37:AZ52" si="1">AS37-AL37</f>
        <v>11014853</v>
      </c>
      <c r="BA37">
        <f t="shared" si="0"/>
        <v>11014853</v>
      </c>
      <c r="BB37">
        <f t="shared" si="0"/>
        <v>11014855</v>
      </c>
      <c r="BC37">
        <f t="shared" si="0"/>
        <v>11294316</v>
      </c>
      <c r="BD37">
        <f t="shared" si="0"/>
        <v>11014855</v>
      </c>
      <c r="BE37">
        <f t="shared" si="0"/>
        <v>28499269380011</v>
      </c>
    </row>
    <row r="38" spans="1:57" x14ac:dyDescent="0.35">
      <c r="A38">
        <v>418373</v>
      </c>
      <c r="B38">
        <v>418373</v>
      </c>
      <c r="C38">
        <v>418373</v>
      </c>
      <c r="D38">
        <v>432347</v>
      </c>
      <c r="E38">
        <v>418373</v>
      </c>
      <c r="F38" s="1" t="s">
        <v>7</v>
      </c>
      <c r="AL38">
        <v>627887</v>
      </c>
      <c r="AM38">
        <v>627887</v>
      </c>
      <c r="AN38">
        <v>627887</v>
      </c>
      <c r="AO38">
        <v>636743</v>
      </c>
      <c r="AP38">
        <v>627887</v>
      </c>
      <c r="AQ38">
        <v>27300730619989</v>
      </c>
      <c r="AS38">
        <v>18977516</v>
      </c>
      <c r="AT38">
        <v>18977516</v>
      </c>
      <c r="AU38">
        <v>18977516</v>
      </c>
      <c r="AV38">
        <v>19502602</v>
      </c>
      <c r="AW38">
        <v>18977516</v>
      </c>
      <c r="AX38" s="1" t="s">
        <v>8</v>
      </c>
      <c r="AZ38">
        <f t="shared" si="1"/>
        <v>18349629</v>
      </c>
      <c r="BA38">
        <f t="shared" si="0"/>
        <v>18349629</v>
      </c>
      <c r="BB38">
        <f t="shared" si="0"/>
        <v>18349629</v>
      </c>
      <c r="BC38">
        <f t="shared" si="0"/>
        <v>18865859</v>
      </c>
      <c r="BD38">
        <f t="shared" si="0"/>
        <v>18349629</v>
      </c>
      <c r="BE38">
        <f t="shared" si="0"/>
        <v>28499269380011</v>
      </c>
    </row>
    <row r="39" spans="1:57" x14ac:dyDescent="0.35">
      <c r="A39">
        <v>306712</v>
      </c>
      <c r="B39">
        <v>306712</v>
      </c>
      <c r="C39">
        <v>306712</v>
      </c>
      <c r="D39">
        <v>314757</v>
      </c>
      <c r="E39">
        <v>306712</v>
      </c>
      <c r="F39" s="1" t="s">
        <v>7</v>
      </c>
      <c r="AL39">
        <v>301025</v>
      </c>
      <c r="AM39">
        <v>301025</v>
      </c>
      <c r="AN39">
        <v>301025</v>
      </c>
      <c r="AO39">
        <v>303385</v>
      </c>
      <c r="AP39">
        <v>301025</v>
      </c>
      <c r="AQ39">
        <v>27300730619989</v>
      </c>
      <c r="AS39">
        <v>10921526</v>
      </c>
      <c r="AT39">
        <v>10921526</v>
      </c>
      <c r="AU39">
        <v>10921526</v>
      </c>
      <c r="AV39">
        <v>11094135</v>
      </c>
      <c r="AW39">
        <v>10921526</v>
      </c>
      <c r="AX39" s="1" t="s">
        <v>8</v>
      </c>
      <c r="AZ39">
        <f t="shared" si="1"/>
        <v>10620501</v>
      </c>
      <c r="BA39">
        <f t="shared" si="0"/>
        <v>10620501</v>
      </c>
      <c r="BB39">
        <f t="shared" si="0"/>
        <v>10620501</v>
      </c>
      <c r="BC39">
        <f t="shared" si="0"/>
        <v>10790750</v>
      </c>
      <c r="BD39">
        <f t="shared" si="0"/>
        <v>10620501</v>
      </c>
      <c r="BE39">
        <f t="shared" si="0"/>
        <v>28499269380011</v>
      </c>
    </row>
    <row r="40" spans="1:57" x14ac:dyDescent="0.35">
      <c r="A40">
        <v>170354</v>
      </c>
      <c r="B40">
        <v>170354</v>
      </c>
      <c r="C40">
        <v>170354</v>
      </c>
      <c r="D40">
        <v>172523</v>
      </c>
      <c r="E40">
        <v>170354</v>
      </c>
      <c r="F40" s="1" t="s">
        <v>7</v>
      </c>
      <c r="AL40">
        <v>512485</v>
      </c>
      <c r="AM40">
        <v>512485</v>
      </c>
      <c r="AN40">
        <v>512485</v>
      </c>
      <c r="AO40">
        <v>522052</v>
      </c>
      <c r="AP40">
        <v>512485</v>
      </c>
      <c r="AQ40">
        <v>27300730619989</v>
      </c>
      <c r="AS40">
        <v>9096795</v>
      </c>
      <c r="AT40">
        <v>9096795</v>
      </c>
      <c r="AU40">
        <v>9096795</v>
      </c>
      <c r="AV40">
        <v>9278127</v>
      </c>
      <c r="AW40">
        <v>9096795</v>
      </c>
      <c r="AX40" s="1" t="s">
        <v>8</v>
      </c>
      <c r="AZ40">
        <f t="shared" si="1"/>
        <v>8584310</v>
      </c>
      <c r="BA40">
        <f t="shared" si="0"/>
        <v>8584310</v>
      </c>
      <c r="BB40">
        <f t="shared" si="0"/>
        <v>8584310</v>
      </c>
      <c r="BC40">
        <f t="shared" si="0"/>
        <v>8756075</v>
      </c>
      <c r="BD40">
        <f t="shared" si="0"/>
        <v>8584310</v>
      </c>
      <c r="BE40">
        <f t="shared" si="0"/>
        <v>28499269380011</v>
      </c>
    </row>
    <row r="41" spans="1:57" x14ac:dyDescent="0.35">
      <c r="A41">
        <v>595157</v>
      </c>
      <c r="B41">
        <v>595157</v>
      </c>
      <c r="C41">
        <v>595157</v>
      </c>
      <c r="D41">
        <v>614142</v>
      </c>
      <c r="E41">
        <v>595157</v>
      </c>
      <c r="F41" s="1" t="s">
        <v>7</v>
      </c>
      <c r="AL41">
        <v>546966</v>
      </c>
      <c r="AM41">
        <v>546966</v>
      </c>
      <c r="AN41">
        <v>546966</v>
      </c>
      <c r="AO41">
        <v>559395</v>
      </c>
      <c r="AP41">
        <v>546966</v>
      </c>
      <c r="AQ41">
        <v>27300730619989</v>
      </c>
      <c r="AS41">
        <v>16232770</v>
      </c>
      <c r="AT41">
        <v>16232770</v>
      </c>
      <c r="AU41">
        <v>16232770</v>
      </c>
      <c r="AV41">
        <v>16750740</v>
      </c>
      <c r="AW41">
        <v>16232770</v>
      </c>
      <c r="AX41" s="1" t="s">
        <v>8</v>
      </c>
      <c r="AZ41">
        <f t="shared" si="1"/>
        <v>15685804</v>
      </c>
      <c r="BA41">
        <f t="shared" si="0"/>
        <v>15685804</v>
      </c>
      <c r="BB41">
        <f t="shared" si="0"/>
        <v>15685804</v>
      </c>
      <c r="BC41">
        <f t="shared" si="0"/>
        <v>16191345</v>
      </c>
      <c r="BD41">
        <f t="shared" si="0"/>
        <v>15685804</v>
      </c>
      <c r="BE41">
        <f t="shared" si="0"/>
        <v>28499269380011</v>
      </c>
    </row>
    <row r="42" spans="1:57" x14ac:dyDescent="0.35">
      <c r="A42">
        <v>448504</v>
      </c>
      <c r="B42">
        <v>448504</v>
      </c>
      <c r="C42">
        <v>448504</v>
      </c>
      <c r="D42">
        <v>457003</v>
      </c>
      <c r="E42">
        <v>448504</v>
      </c>
      <c r="F42" s="1" t="s">
        <v>7</v>
      </c>
      <c r="AL42">
        <v>575678</v>
      </c>
      <c r="AM42">
        <v>575678</v>
      </c>
      <c r="AN42">
        <v>575678</v>
      </c>
      <c r="AO42">
        <v>589442</v>
      </c>
      <c r="AP42">
        <v>575678</v>
      </c>
      <c r="AQ42">
        <v>27300730619989</v>
      </c>
      <c r="AS42">
        <v>20395662</v>
      </c>
      <c r="AT42">
        <v>20395662</v>
      </c>
      <c r="AU42">
        <v>20395662</v>
      </c>
      <c r="AV42">
        <v>20996934</v>
      </c>
      <c r="AW42">
        <v>20395662</v>
      </c>
      <c r="AX42" s="1" t="s">
        <v>8</v>
      </c>
      <c r="AZ42">
        <f t="shared" si="1"/>
        <v>19819984</v>
      </c>
      <c r="BA42">
        <f t="shared" si="0"/>
        <v>19819984</v>
      </c>
      <c r="BB42">
        <f t="shared" si="0"/>
        <v>19819984</v>
      </c>
      <c r="BC42">
        <f t="shared" si="0"/>
        <v>20407492</v>
      </c>
      <c r="BD42">
        <f t="shared" si="0"/>
        <v>19819984</v>
      </c>
      <c r="BE42">
        <f t="shared" si="0"/>
        <v>28499269380011</v>
      </c>
    </row>
    <row r="43" spans="1:57" x14ac:dyDescent="0.35">
      <c r="A43">
        <v>393553</v>
      </c>
      <c r="B43">
        <v>393553</v>
      </c>
      <c r="C43">
        <v>393553</v>
      </c>
      <c r="D43">
        <v>402339</v>
      </c>
      <c r="E43">
        <v>393553</v>
      </c>
      <c r="F43" s="1" t="s">
        <v>7</v>
      </c>
      <c r="AL43">
        <v>316913</v>
      </c>
      <c r="AM43">
        <v>316913</v>
      </c>
      <c r="AN43">
        <v>316913</v>
      </c>
      <c r="AO43">
        <v>322695</v>
      </c>
      <c r="AP43">
        <v>316913</v>
      </c>
      <c r="AQ43">
        <v>27300730619989</v>
      </c>
      <c r="AS43">
        <v>14901963</v>
      </c>
      <c r="AT43">
        <v>14901963</v>
      </c>
      <c r="AU43">
        <v>14901963</v>
      </c>
      <c r="AV43">
        <v>15270155</v>
      </c>
      <c r="AW43">
        <v>14901963</v>
      </c>
      <c r="AX43" s="1" t="s">
        <v>8</v>
      </c>
      <c r="AZ43">
        <f t="shared" si="1"/>
        <v>14585050</v>
      </c>
      <c r="BA43">
        <f t="shared" si="0"/>
        <v>14585050</v>
      </c>
      <c r="BB43">
        <f t="shared" si="0"/>
        <v>14585050</v>
      </c>
      <c r="BC43">
        <f t="shared" si="0"/>
        <v>14947460</v>
      </c>
      <c r="BD43">
        <f t="shared" si="0"/>
        <v>14585050</v>
      </c>
      <c r="BE43">
        <f t="shared" si="0"/>
        <v>28499269380011</v>
      </c>
    </row>
    <row r="44" spans="1:57" x14ac:dyDescent="0.35">
      <c r="A44">
        <v>233570</v>
      </c>
      <c r="B44">
        <v>233570</v>
      </c>
      <c r="C44">
        <v>233570</v>
      </c>
      <c r="D44">
        <v>237234</v>
      </c>
      <c r="E44">
        <v>233570</v>
      </c>
      <c r="F44" s="1" t="s">
        <v>7</v>
      </c>
      <c r="AL44">
        <v>447645</v>
      </c>
      <c r="AM44">
        <v>447645</v>
      </c>
      <c r="AN44">
        <v>447645</v>
      </c>
      <c r="AO44">
        <v>455825</v>
      </c>
      <c r="AP44">
        <v>447645</v>
      </c>
      <c r="AQ44">
        <v>27300730619989</v>
      </c>
      <c r="AS44">
        <v>11787103</v>
      </c>
      <c r="AT44">
        <v>11787103</v>
      </c>
      <c r="AU44">
        <v>11787103</v>
      </c>
      <c r="AV44">
        <v>11980044</v>
      </c>
      <c r="AW44">
        <v>11787103</v>
      </c>
      <c r="AX44" s="1" t="s">
        <v>8</v>
      </c>
      <c r="AZ44">
        <f t="shared" si="1"/>
        <v>11339458</v>
      </c>
      <c r="BA44">
        <f t="shared" si="0"/>
        <v>11339458</v>
      </c>
      <c r="BB44">
        <f t="shared" si="0"/>
        <v>11339458</v>
      </c>
      <c r="BC44">
        <f t="shared" si="0"/>
        <v>11524219</v>
      </c>
      <c r="BD44">
        <f t="shared" si="0"/>
        <v>11339458</v>
      </c>
      <c r="BE44">
        <f t="shared" si="0"/>
        <v>28499269380011</v>
      </c>
    </row>
    <row r="45" spans="1:57" x14ac:dyDescent="0.35">
      <c r="A45">
        <v>236627</v>
      </c>
      <c r="B45">
        <v>236627</v>
      </c>
      <c r="C45">
        <v>236627</v>
      </c>
      <c r="D45">
        <v>240041</v>
      </c>
      <c r="E45">
        <v>236627</v>
      </c>
      <c r="F45" s="1" t="s">
        <v>7</v>
      </c>
      <c r="AL45">
        <v>569513</v>
      </c>
      <c r="AM45">
        <v>569513</v>
      </c>
      <c r="AN45">
        <v>569513</v>
      </c>
      <c r="AO45">
        <v>579427</v>
      </c>
      <c r="AP45">
        <v>569513</v>
      </c>
      <c r="AQ45">
        <v>27300730619989</v>
      </c>
      <c r="AS45">
        <v>17106440</v>
      </c>
      <c r="AT45">
        <v>17106440</v>
      </c>
      <c r="AU45">
        <v>17106440</v>
      </c>
      <c r="AV45">
        <v>17545577</v>
      </c>
      <c r="AW45">
        <v>17106440</v>
      </c>
      <c r="AX45" s="1" t="s">
        <v>8</v>
      </c>
      <c r="AZ45">
        <f t="shared" si="1"/>
        <v>16536927</v>
      </c>
      <c r="BA45">
        <f t="shared" si="0"/>
        <v>16536927</v>
      </c>
      <c r="BB45">
        <f t="shared" si="0"/>
        <v>16536927</v>
      </c>
      <c r="BC45">
        <f t="shared" si="0"/>
        <v>16966150</v>
      </c>
      <c r="BD45">
        <f t="shared" si="0"/>
        <v>16536927</v>
      </c>
      <c r="BE45">
        <f t="shared" si="0"/>
        <v>28499269380011</v>
      </c>
    </row>
    <row r="46" spans="1:57" x14ac:dyDescent="0.35">
      <c r="A46">
        <v>283078</v>
      </c>
      <c r="B46">
        <v>283078</v>
      </c>
      <c r="C46">
        <v>283078</v>
      </c>
      <c r="D46">
        <v>288555</v>
      </c>
      <c r="E46">
        <v>283078</v>
      </c>
      <c r="F46" s="1" t="s">
        <v>7</v>
      </c>
      <c r="AL46">
        <v>983288</v>
      </c>
      <c r="AM46">
        <v>983288</v>
      </c>
      <c r="AN46">
        <v>983288</v>
      </c>
      <c r="AO46">
        <v>1016574</v>
      </c>
      <c r="AP46">
        <v>983288</v>
      </c>
      <c r="AQ46">
        <v>27300730619989</v>
      </c>
      <c r="AS46">
        <v>19687514</v>
      </c>
      <c r="AT46">
        <v>19687514</v>
      </c>
      <c r="AU46">
        <v>19687514</v>
      </c>
      <c r="AV46">
        <v>20263756</v>
      </c>
      <c r="AW46">
        <v>19687514</v>
      </c>
      <c r="AX46" s="1" t="s">
        <v>8</v>
      </c>
      <c r="AZ46">
        <f t="shared" si="1"/>
        <v>18704226</v>
      </c>
      <c r="BA46">
        <f t="shared" si="0"/>
        <v>18704226</v>
      </c>
      <c r="BB46">
        <f t="shared" si="0"/>
        <v>18704226</v>
      </c>
      <c r="BC46">
        <f t="shared" si="0"/>
        <v>19247182</v>
      </c>
      <c r="BD46">
        <f t="shared" si="0"/>
        <v>18704226</v>
      </c>
      <c r="BE46">
        <f t="shared" si="0"/>
        <v>28499269380011</v>
      </c>
    </row>
    <row r="47" spans="1:57" x14ac:dyDescent="0.35">
      <c r="A47">
        <v>283661</v>
      </c>
      <c r="B47">
        <v>283661</v>
      </c>
      <c r="C47">
        <v>283661</v>
      </c>
      <c r="D47">
        <v>290973</v>
      </c>
      <c r="E47">
        <v>283661</v>
      </c>
      <c r="F47" s="1" t="s">
        <v>7</v>
      </c>
      <c r="AL47">
        <v>337997</v>
      </c>
      <c r="AM47">
        <v>337997</v>
      </c>
      <c r="AN47">
        <v>337997</v>
      </c>
      <c r="AO47">
        <v>343321</v>
      </c>
      <c r="AP47">
        <v>337997</v>
      </c>
      <c r="AQ47">
        <v>27300730619989</v>
      </c>
      <c r="AS47">
        <v>14599697</v>
      </c>
      <c r="AT47">
        <v>14599697</v>
      </c>
      <c r="AU47">
        <v>14599697</v>
      </c>
      <c r="AV47">
        <v>14934328</v>
      </c>
      <c r="AW47">
        <v>14599697</v>
      </c>
      <c r="AX47" s="1" t="s">
        <v>8</v>
      </c>
      <c r="AZ47">
        <f t="shared" si="1"/>
        <v>14261700</v>
      </c>
      <c r="BA47">
        <f t="shared" si="0"/>
        <v>14261700</v>
      </c>
      <c r="BB47">
        <f t="shared" si="0"/>
        <v>14261700</v>
      </c>
      <c r="BC47">
        <f t="shared" si="0"/>
        <v>14591007</v>
      </c>
      <c r="BD47">
        <f t="shared" si="0"/>
        <v>14261700</v>
      </c>
      <c r="BE47">
        <f t="shared" si="0"/>
        <v>28499269380011</v>
      </c>
    </row>
    <row r="48" spans="1:57" x14ac:dyDescent="0.35">
      <c r="A48">
        <v>153556</v>
      </c>
      <c r="B48">
        <v>153556</v>
      </c>
      <c r="C48">
        <v>153556</v>
      </c>
      <c r="D48">
        <v>154916</v>
      </c>
      <c r="E48">
        <v>153556</v>
      </c>
      <c r="F48" s="1" t="s">
        <v>7</v>
      </c>
      <c r="AL48">
        <v>278491</v>
      </c>
      <c r="AM48">
        <v>278491</v>
      </c>
      <c r="AN48">
        <v>278491</v>
      </c>
      <c r="AO48">
        <v>281448</v>
      </c>
      <c r="AP48">
        <v>278491</v>
      </c>
      <c r="AQ48">
        <v>27300730619989</v>
      </c>
      <c r="AS48">
        <v>9090146</v>
      </c>
      <c r="AT48">
        <v>9090146</v>
      </c>
      <c r="AU48">
        <v>9090146</v>
      </c>
      <c r="AV48">
        <v>9203234</v>
      </c>
      <c r="AW48">
        <v>9090146</v>
      </c>
      <c r="AX48" s="1" t="s">
        <v>8</v>
      </c>
      <c r="AZ48">
        <f t="shared" si="1"/>
        <v>8811655</v>
      </c>
      <c r="BA48">
        <f t="shared" si="0"/>
        <v>8811655</v>
      </c>
      <c r="BB48">
        <f t="shared" si="0"/>
        <v>8811655</v>
      </c>
      <c r="BC48">
        <f t="shared" si="0"/>
        <v>8921786</v>
      </c>
      <c r="BD48">
        <f t="shared" si="0"/>
        <v>8811655</v>
      </c>
      <c r="BE48">
        <f t="shared" si="0"/>
        <v>28499269380011</v>
      </c>
    </row>
    <row r="49" spans="1:57" x14ac:dyDescent="0.35">
      <c r="A49">
        <v>4252.7423209999997</v>
      </c>
      <c r="AL49">
        <v>381106</v>
      </c>
      <c r="AM49">
        <v>381106</v>
      </c>
      <c r="AN49">
        <v>381106</v>
      </c>
      <c r="AO49">
        <v>387451</v>
      </c>
      <c r="AP49">
        <v>381106</v>
      </c>
      <c r="AQ49">
        <v>27300730619989</v>
      </c>
      <c r="AS49">
        <v>13208923</v>
      </c>
      <c r="AT49">
        <v>13208923</v>
      </c>
      <c r="AU49">
        <v>13208923</v>
      </c>
      <c r="AV49">
        <v>13556064</v>
      </c>
      <c r="AW49">
        <v>13208923</v>
      </c>
      <c r="AX49" s="1" t="s">
        <v>8</v>
      </c>
      <c r="AZ49">
        <f t="shared" si="1"/>
        <v>12827817</v>
      </c>
      <c r="BA49">
        <f t="shared" si="0"/>
        <v>12827817</v>
      </c>
      <c r="BB49">
        <f t="shared" si="0"/>
        <v>12827817</v>
      </c>
      <c r="BC49">
        <f t="shared" si="0"/>
        <v>13168613</v>
      </c>
      <c r="BD49">
        <f t="shared" si="0"/>
        <v>12827817</v>
      </c>
      <c r="BE49">
        <f t="shared" si="0"/>
        <v>28499269380011</v>
      </c>
    </row>
    <row r="50" spans="1:57" x14ac:dyDescent="0.35">
      <c r="A50">
        <v>3583.7832709999998</v>
      </c>
      <c r="AL50">
        <v>406648</v>
      </c>
      <c r="AM50">
        <v>406648</v>
      </c>
      <c r="AN50">
        <v>406648</v>
      </c>
      <c r="AO50">
        <v>415177</v>
      </c>
      <c r="AP50">
        <v>406648</v>
      </c>
      <c r="AQ50">
        <v>27300730619989</v>
      </c>
      <c r="AS50">
        <v>14452542</v>
      </c>
      <c r="AT50">
        <v>14452542</v>
      </c>
      <c r="AU50">
        <v>14452542</v>
      </c>
      <c r="AV50">
        <v>14838279</v>
      </c>
      <c r="AW50">
        <v>14452542</v>
      </c>
      <c r="AX50" s="1" t="s">
        <v>8</v>
      </c>
      <c r="AZ50">
        <f t="shared" si="1"/>
        <v>14045894</v>
      </c>
      <c r="BA50">
        <f t="shared" si="0"/>
        <v>14045894</v>
      </c>
      <c r="BB50">
        <f t="shared" si="0"/>
        <v>14045894</v>
      </c>
      <c r="BC50">
        <f t="shared" si="0"/>
        <v>14423102</v>
      </c>
      <c r="BD50">
        <f t="shared" si="0"/>
        <v>14045894</v>
      </c>
      <c r="BE50">
        <f t="shared" si="0"/>
        <v>28499269380011</v>
      </c>
    </row>
    <row r="51" spans="1:57" x14ac:dyDescent="0.35">
      <c r="A51">
        <v>668.95905000000005</v>
      </c>
      <c r="AL51">
        <v>251403</v>
      </c>
      <c r="AM51">
        <v>251403</v>
      </c>
      <c r="AN51">
        <v>251403</v>
      </c>
      <c r="AO51">
        <v>254166</v>
      </c>
      <c r="AP51">
        <v>251403</v>
      </c>
      <c r="AQ51">
        <v>27300730619989</v>
      </c>
      <c r="AS51">
        <v>10175090</v>
      </c>
      <c r="AT51">
        <v>10175090</v>
      </c>
      <c r="AU51">
        <v>10175090</v>
      </c>
      <c r="AV51">
        <v>10353541</v>
      </c>
      <c r="AW51">
        <v>10175090</v>
      </c>
      <c r="AX51" s="1" t="s">
        <v>8</v>
      </c>
      <c r="AZ51">
        <f t="shared" si="1"/>
        <v>9923687</v>
      </c>
      <c r="BA51">
        <f t="shared" si="0"/>
        <v>9923687</v>
      </c>
      <c r="BB51">
        <f t="shared" si="0"/>
        <v>9923687</v>
      </c>
      <c r="BC51">
        <f t="shared" si="0"/>
        <v>10099375</v>
      </c>
      <c r="BD51">
        <f t="shared" si="0"/>
        <v>9923687</v>
      </c>
      <c r="BE51">
        <f t="shared" si="0"/>
        <v>28499269380011</v>
      </c>
    </row>
    <row r="52" spans="1:57" x14ac:dyDescent="0.35">
      <c r="A52">
        <v>3715.3429329999999</v>
      </c>
      <c r="B52">
        <v>3608.9358179999999</v>
      </c>
      <c r="C52">
        <v>2706.08743</v>
      </c>
      <c r="D52" t="s">
        <v>12</v>
      </c>
      <c r="E52" t="s">
        <v>12</v>
      </c>
    </row>
    <row r="53" spans="1:57" x14ac:dyDescent="0.35">
      <c r="A53">
        <v>789.684978</v>
      </c>
      <c r="B53">
        <v>651.79197199999999</v>
      </c>
      <c r="C53">
        <v>413.584226</v>
      </c>
      <c r="D53" t="s">
        <v>12</v>
      </c>
      <c r="E53" t="s">
        <v>12</v>
      </c>
    </row>
    <row r="54" spans="1:57" x14ac:dyDescent="0.35">
      <c r="A54">
        <v>2.5090029999999999</v>
      </c>
    </row>
    <row r="55" spans="1:57" x14ac:dyDescent="0.35">
      <c r="A55">
        <v>4257.7086470000004</v>
      </c>
    </row>
    <row r="56" spans="1:57" x14ac:dyDescent="0.35">
      <c r="A56">
        <v>3595.4859879999999</v>
      </c>
    </row>
    <row r="57" spans="1:57" x14ac:dyDescent="0.35">
      <c r="A57">
        <v>662.22265900000002</v>
      </c>
    </row>
    <row r="58" spans="1:57" x14ac:dyDescent="0.35">
      <c r="A58">
        <v>3224.4336790000002</v>
      </c>
      <c r="B58">
        <v>4199.4519849999997</v>
      </c>
      <c r="C58">
        <v>2706.08743</v>
      </c>
      <c r="D58" t="s">
        <v>12</v>
      </c>
      <c r="E58" t="s">
        <v>12</v>
      </c>
    </row>
    <row r="59" spans="1:57" x14ac:dyDescent="0.35">
      <c r="A59">
        <v>804.30221400000005</v>
      </c>
      <c r="B59">
        <v>607.56371899999999</v>
      </c>
      <c r="C59">
        <v>413.584226</v>
      </c>
      <c r="D59" t="s">
        <v>12</v>
      </c>
      <c r="E59" t="s">
        <v>12</v>
      </c>
    </row>
    <row r="60" spans="1:57" x14ac:dyDescent="0.35">
      <c r="A60">
        <v>0.127081</v>
      </c>
    </row>
    <row r="61" spans="1:57" x14ac:dyDescent="0.35">
      <c r="A61">
        <v>0.127081</v>
      </c>
    </row>
    <row r="62" spans="1:57" x14ac:dyDescent="0.35">
      <c r="A62" t="s">
        <v>13</v>
      </c>
      <c r="B62" t="s">
        <v>14</v>
      </c>
    </row>
    <row r="63" spans="1:57" x14ac:dyDescent="0.35">
      <c r="A63">
        <v>16</v>
      </c>
    </row>
    <row r="64" spans="1:57" x14ac:dyDescent="0.35">
      <c r="A64">
        <v>0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  <c r="N64">
        <v>13</v>
      </c>
      <c r="O64">
        <v>14</v>
      </c>
      <c r="P64">
        <v>15</v>
      </c>
      <c r="Q6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</dc:creator>
  <cp:lastModifiedBy>Alex Beekman (RIT Student)</cp:lastModifiedBy>
  <dcterms:created xsi:type="dcterms:W3CDTF">2024-12-23T03:58:29Z</dcterms:created>
  <dcterms:modified xsi:type="dcterms:W3CDTF">2024-12-23T03:59:47Z</dcterms:modified>
</cp:coreProperties>
</file>