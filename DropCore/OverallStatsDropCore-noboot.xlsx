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b\OneDrive\Documents\Thesis\DropCore\"/>
    </mc:Choice>
  </mc:AlternateContent>
  <xr:revisionPtr revIDLastSave="0" documentId="13_ncr:1_{F7907391-E4CD-4E9E-B64B-8213B2164635}" xr6:coauthVersionLast="47" xr6:coauthVersionMax="47" xr10:uidLastSave="{00000000-0000-0000-0000-000000000000}"/>
  <bookViews>
    <workbookView xWindow="-110" yWindow="-110" windowWidth="38620" windowHeight="21100" xr2:uid="{84A3B88E-B226-40B3-A64E-0FDCC502A4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1" l="1"/>
  <c r="N8" i="1"/>
  <c r="N10" i="1"/>
  <c r="N11" i="1"/>
  <c r="N12" i="1"/>
  <c r="N13" i="1"/>
  <c r="N5" i="1"/>
  <c r="K6" i="1"/>
  <c r="K7" i="1"/>
  <c r="N7" i="1" s="1"/>
  <c r="K8" i="1"/>
  <c r="K9" i="1"/>
  <c r="N9" i="1" s="1"/>
  <c r="K10" i="1"/>
  <c r="K11" i="1"/>
  <c r="K12" i="1"/>
  <c r="K13" i="1"/>
  <c r="J8" i="1"/>
  <c r="J10" i="1"/>
  <c r="J11" i="1"/>
  <c r="J12" i="1"/>
  <c r="J13" i="1"/>
  <c r="I6" i="1"/>
  <c r="I7" i="1"/>
  <c r="I8" i="1"/>
  <c r="I9" i="1"/>
  <c r="I10" i="1"/>
  <c r="I11" i="1"/>
  <c r="I12" i="1"/>
  <c r="I13" i="1"/>
  <c r="H6" i="1"/>
  <c r="J6" i="1" s="1"/>
  <c r="H7" i="1"/>
  <c r="J7" i="1" s="1"/>
  <c r="H8" i="1"/>
  <c r="H9" i="1"/>
  <c r="J9" i="1" s="1"/>
  <c r="H10" i="1"/>
  <c r="H11" i="1"/>
  <c r="H12" i="1"/>
  <c r="H13" i="1"/>
  <c r="I5" i="1"/>
  <c r="H5" i="1"/>
  <c r="J5" i="1" s="1"/>
  <c r="K5" i="1"/>
</calcChain>
</file>

<file path=xl/sharedStrings.xml><?xml version="1.0" encoding="utf-8"?>
<sst xmlns="http://schemas.openxmlformats.org/spreadsheetml/2006/main" count="33" uniqueCount="27">
  <si>
    <t>HalfCache</t>
  </si>
  <si>
    <t>Program</t>
  </si>
  <si>
    <t>TP</t>
  </si>
  <si>
    <t>FP</t>
  </si>
  <si>
    <t>FN</t>
  </si>
  <si>
    <t>TN</t>
  </si>
  <si>
    <t>ACC (%)</t>
  </si>
  <si>
    <t>Noise Percantages</t>
  </si>
  <si>
    <t>Upsampling</t>
  </si>
  <si>
    <t>Precision</t>
  </si>
  <si>
    <t>Recall</t>
  </si>
  <si>
    <t>F1-Score</t>
  </si>
  <si>
    <t>Specificity</t>
  </si>
  <si>
    <t>NU and Gamma</t>
  </si>
  <si>
    <t>Nu: 0.1, Gamma: 0.7</t>
  </si>
  <si>
    <t>Facesim Drop 1</t>
  </si>
  <si>
    <t>Nu: 0.0625, Gamma: 0.7</t>
  </si>
  <si>
    <t>Facesim Drop 10</t>
  </si>
  <si>
    <t>Nu: 0.5, Gamma: 0.99</t>
  </si>
  <si>
    <t>Balanced Accuracy</t>
  </si>
  <si>
    <t>Nu: 0.2, Gamma: 0.5</t>
  </si>
  <si>
    <t>Facesim Drop 3</t>
  </si>
  <si>
    <t>Streamcluster Drop 1</t>
  </si>
  <si>
    <t>Nu: 0.1, Gamma: 0.5</t>
  </si>
  <si>
    <t>Streamcluster Drop 10</t>
  </si>
  <si>
    <t>Nu: 0.05, Gamma: 0.7</t>
  </si>
  <si>
    <t>Streamcluster Drop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</si>
</sst>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EE7E4-9A64-4328-97BF-22E9AA604A6A}">
  <dimension ref="A1:N34"/>
  <sheetViews>
    <sheetView tabSelected="1" zoomScaleNormal="100" workbookViewId="0">
      <selection activeCell="O35" sqref="O35"/>
    </sheetView>
  </sheetViews>
  <sheetFormatPr defaultRowHeight="14.5" x14ac:dyDescent="0.35"/>
  <cols>
    <col min="1" max="1" width="34.36328125" customWidth="1"/>
    <col min="2" max="2" width="29" customWidth="1"/>
    <col min="7" max="7" width="22.1796875" customWidth="1"/>
    <col min="11" max="11" width="14.81640625" customWidth="1"/>
  </cols>
  <sheetData>
    <row r="1" spans="1:14" x14ac:dyDescent="0.35">
      <c r="A1" t="s">
        <v>0</v>
      </c>
    </row>
    <row r="2" spans="1:14" x14ac:dyDescent="0.35">
      <c r="A2" t="s">
        <v>1</v>
      </c>
      <c r="B2" t="s">
        <v>13</v>
      </c>
      <c r="C2" t="s">
        <v>2</v>
      </c>
      <c r="D2" t="s">
        <v>4</v>
      </c>
      <c r="E2" t="s">
        <v>3</v>
      </c>
      <c r="F2" t="s">
        <v>5</v>
      </c>
      <c r="G2" t="s">
        <v>6</v>
      </c>
      <c r="H2" t="s">
        <v>9</v>
      </c>
      <c r="I2" t="s">
        <v>10</v>
      </c>
      <c r="J2" t="s">
        <v>11</v>
      </c>
      <c r="K2" t="s">
        <v>12</v>
      </c>
      <c r="L2" t="s">
        <v>7</v>
      </c>
      <c r="M2" t="s">
        <v>8</v>
      </c>
      <c r="N2" t="s">
        <v>19</v>
      </c>
    </row>
    <row r="5" spans="1:14" x14ac:dyDescent="0.35">
      <c r="A5" t="s">
        <v>15</v>
      </c>
      <c r="B5" t="s">
        <v>14</v>
      </c>
      <c r="C5">
        <v>22</v>
      </c>
      <c r="D5">
        <v>1</v>
      </c>
      <c r="E5">
        <v>0</v>
      </c>
      <c r="F5">
        <v>1339</v>
      </c>
      <c r="G5">
        <v>99.926578559999996</v>
      </c>
      <c r="H5">
        <f>(C5)/(C5+E5)</f>
        <v>1</v>
      </c>
      <c r="I5">
        <f>C5/(C5+D5)</f>
        <v>0.95652173913043481</v>
      </c>
      <c r="J5">
        <f t="shared" ref="J5:J13" si="0">(2*(H5*I5))/(H5+I5)</f>
        <v>0.97777777777777775</v>
      </c>
      <c r="K5">
        <f>F5/(F5+D5)</f>
        <v>0.99925373134328355</v>
      </c>
      <c r="L5">
        <v>0</v>
      </c>
      <c r="M5">
        <v>40</v>
      </c>
      <c r="N5">
        <f>(K5+I5)/2</f>
        <v>0.97788773523685912</v>
      </c>
    </row>
    <row r="6" spans="1:14" x14ac:dyDescent="0.35">
      <c r="A6" t="s">
        <v>17</v>
      </c>
      <c r="B6" t="s">
        <v>16</v>
      </c>
      <c r="C6">
        <v>22</v>
      </c>
      <c r="D6">
        <v>1</v>
      </c>
      <c r="E6">
        <v>0</v>
      </c>
      <c r="F6">
        <v>1331</v>
      </c>
      <c r="G6">
        <v>99.92614476</v>
      </c>
      <c r="H6">
        <f t="shared" ref="H6:H13" si="1">(C6)/(C6+E6)</f>
        <v>1</v>
      </c>
      <c r="I6">
        <f t="shared" ref="I6:I13" si="2">C6/(C6+D6)</f>
        <v>0.95652173913043481</v>
      </c>
      <c r="J6">
        <f t="shared" si="0"/>
        <v>0.97777777777777775</v>
      </c>
      <c r="K6">
        <f t="shared" ref="K6:K13" si="3">F6/(F6+D6)</f>
        <v>0.99924924924924929</v>
      </c>
      <c r="L6">
        <v>0</v>
      </c>
      <c r="M6">
        <v>40</v>
      </c>
      <c r="N6">
        <f t="shared" ref="N6:N13" si="4">(K6+I6)/2</f>
        <v>0.97788549418984205</v>
      </c>
    </row>
    <row r="7" spans="1:14" x14ac:dyDescent="0.35">
      <c r="A7" t="s">
        <v>21</v>
      </c>
      <c r="B7" t="s">
        <v>20</v>
      </c>
      <c r="C7">
        <v>22</v>
      </c>
      <c r="D7">
        <v>1</v>
      </c>
      <c r="E7">
        <v>0</v>
      </c>
      <c r="F7">
        <v>1335</v>
      </c>
      <c r="G7">
        <v>99.926362297496297</v>
      </c>
      <c r="H7">
        <f t="shared" si="1"/>
        <v>1</v>
      </c>
      <c r="I7">
        <f t="shared" si="2"/>
        <v>0.95652173913043481</v>
      </c>
      <c r="J7">
        <f t="shared" si="0"/>
        <v>0.97777777777777775</v>
      </c>
      <c r="K7">
        <f t="shared" si="3"/>
        <v>0.99925149700598803</v>
      </c>
      <c r="L7">
        <v>0</v>
      </c>
      <c r="M7">
        <v>40</v>
      </c>
      <c r="N7">
        <f t="shared" si="4"/>
        <v>0.97788661806821142</v>
      </c>
    </row>
    <row r="8" spans="1:14" x14ac:dyDescent="0.35">
      <c r="A8" t="s">
        <v>22</v>
      </c>
      <c r="B8" t="s">
        <v>18</v>
      </c>
      <c r="C8">
        <v>10</v>
      </c>
      <c r="D8">
        <v>2</v>
      </c>
      <c r="E8">
        <v>0</v>
      </c>
      <c r="F8">
        <v>954</v>
      </c>
      <c r="G8">
        <v>99.7929606625258</v>
      </c>
      <c r="H8">
        <f t="shared" si="1"/>
        <v>1</v>
      </c>
      <c r="I8">
        <f t="shared" si="2"/>
        <v>0.83333333333333337</v>
      </c>
      <c r="J8">
        <f t="shared" si="0"/>
        <v>0.90909090909090906</v>
      </c>
      <c r="K8">
        <f t="shared" si="3"/>
        <v>0.997907949790795</v>
      </c>
      <c r="L8">
        <v>10</v>
      </c>
      <c r="M8">
        <v>40</v>
      </c>
      <c r="N8">
        <f t="shared" si="4"/>
        <v>0.91562064156206424</v>
      </c>
    </row>
    <row r="9" spans="1:14" x14ac:dyDescent="0.35">
      <c r="A9" t="s">
        <v>24</v>
      </c>
      <c r="B9" t="s">
        <v>23</v>
      </c>
      <c r="C9">
        <v>10</v>
      </c>
      <c r="D9">
        <v>2</v>
      </c>
      <c r="E9">
        <v>1</v>
      </c>
      <c r="F9">
        <v>1389</v>
      </c>
      <c r="G9">
        <v>99.786019969999998</v>
      </c>
      <c r="H9">
        <f t="shared" si="1"/>
        <v>0.90909090909090906</v>
      </c>
      <c r="I9">
        <f t="shared" si="2"/>
        <v>0.83333333333333337</v>
      </c>
      <c r="J9">
        <f t="shared" si="0"/>
        <v>0.86956521739130432</v>
      </c>
      <c r="K9">
        <f t="shared" si="3"/>
        <v>0.99856218547807329</v>
      </c>
      <c r="L9">
        <v>10</v>
      </c>
      <c r="M9">
        <v>40</v>
      </c>
      <c r="N9">
        <f t="shared" si="4"/>
        <v>0.91594775940570328</v>
      </c>
    </row>
    <row r="10" spans="1:14" x14ac:dyDescent="0.35">
      <c r="A10" t="s">
        <v>26</v>
      </c>
      <c r="B10" t="s">
        <v>25</v>
      </c>
      <c r="C10">
        <v>11</v>
      </c>
      <c r="D10">
        <v>1</v>
      </c>
      <c r="E10">
        <v>0</v>
      </c>
      <c r="F10">
        <v>1135</v>
      </c>
      <c r="G10">
        <v>99.912816041848302</v>
      </c>
      <c r="H10">
        <f t="shared" si="1"/>
        <v>1</v>
      </c>
      <c r="I10">
        <f t="shared" si="2"/>
        <v>0.91666666666666663</v>
      </c>
      <c r="J10">
        <f t="shared" si="0"/>
        <v>0.95652173913043481</v>
      </c>
      <c r="K10">
        <f t="shared" si="3"/>
        <v>0.99911971830985913</v>
      </c>
      <c r="L10">
        <v>10</v>
      </c>
      <c r="M10">
        <v>40</v>
      </c>
      <c r="N10">
        <f t="shared" si="4"/>
        <v>0.95789319248826288</v>
      </c>
    </row>
    <row r="11" spans="1:14" x14ac:dyDescent="0.35">
      <c r="H11" t="e">
        <f t="shared" si="1"/>
        <v>#DIV/0!</v>
      </c>
      <c r="I11" t="e">
        <f t="shared" si="2"/>
        <v>#DIV/0!</v>
      </c>
      <c r="J11" t="e">
        <f t="shared" si="0"/>
        <v>#DIV/0!</v>
      </c>
      <c r="K11" t="e">
        <f t="shared" si="3"/>
        <v>#DIV/0!</v>
      </c>
      <c r="N11" t="e">
        <f t="shared" si="4"/>
        <v>#DIV/0!</v>
      </c>
    </row>
    <row r="12" spans="1:14" x14ac:dyDescent="0.35">
      <c r="H12" t="e">
        <f t="shared" si="1"/>
        <v>#DIV/0!</v>
      </c>
      <c r="I12" t="e">
        <f t="shared" si="2"/>
        <v>#DIV/0!</v>
      </c>
      <c r="J12" t="e">
        <f t="shared" si="0"/>
        <v>#DIV/0!</v>
      </c>
      <c r="K12" t="e">
        <f t="shared" si="3"/>
        <v>#DIV/0!</v>
      </c>
      <c r="N12" t="e">
        <f t="shared" si="4"/>
        <v>#DIV/0!</v>
      </c>
    </row>
    <row r="13" spans="1:14" x14ac:dyDescent="0.35">
      <c r="H13" t="e">
        <f t="shared" si="1"/>
        <v>#DIV/0!</v>
      </c>
      <c r="I13" t="e">
        <f t="shared" si="2"/>
        <v>#DIV/0!</v>
      </c>
      <c r="J13" t="e">
        <f t="shared" si="0"/>
        <v>#DIV/0!</v>
      </c>
      <c r="K13" t="e">
        <f t="shared" si="3"/>
        <v>#DIV/0!</v>
      </c>
      <c r="N13" t="e">
        <f t="shared" si="4"/>
        <v>#DIV/0!</v>
      </c>
    </row>
    <row r="29" spans="1:6" x14ac:dyDescent="0.35">
      <c r="A29" t="s">
        <v>15</v>
      </c>
      <c r="B29">
        <v>99.926578559999996</v>
      </c>
      <c r="C29">
        <v>1</v>
      </c>
      <c r="D29">
        <v>0.95652173913043481</v>
      </c>
      <c r="E29">
        <v>0.97777777777777775</v>
      </c>
      <c r="F29">
        <v>0.97788773523685912</v>
      </c>
    </row>
    <row r="30" spans="1:6" x14ac:dyDescent="0.35">
      <c r="A30" t="s">
        <v>17</v>
      </c>
      <c r="B30">
        <v>99.92614476</v>
      </c>
      <c r="C30">
        <v>1</v>
      </c>
      <c r="D30">
        <v>0.95652173913043481</v>
      </c>
      <c r="E30">
        <v>0.97777777777777775</v>
      </c>
      <c r="F30">
        <v>0.97788549418984205</v>
      </c>
    </row>
    <row r="31" spans="1:6" x14ac:dyDescent="0.35">
      <c r="A31" t="s">
        <v>21</v>
      </c>
      <c r="B31">
        <v>99.926362297496297</v>
      </c>
      <c r="C31">
        <v>1</v>
      </c>
      <c r="D31">
        <v>0.95652173913043481</v>
      </c>
      <c r="E31">
        <v>0.97777777777777775</v>
      </c>
      <c r="F31">
        <v>0.97788661806821142</v>
      </c>
    </row>
    <row r="32" spans="1:6" x14ac:dyDescent="0.35">
      <c r="A32" t="s">
        <v>22</v>
      </c>
      <c r="B32">
        <v>99.7929606625258</v>
      </c>
      <c r="C32">
        <v>1</v>
      </c>
      <c r="D32">
        <v>0.83333333333333337</v>
      </c>
      <c r="E32">
        <v>0.90909090909090906</v>
      </c>
      <c r="F32">
        <v>0.91562064156206424</v>
      </c>
    </row>
    <row r="33" spans="1:6" x14ac:dyDescent="0.35">
      <c r="A33" t="s">
        <v>24</v>
      </c>
      <c r="B33">
        <v>99.786019969999998</v>
      </c>
      <c r="C33">
        <v>0.90909090909090906</v>
      </c>
      <c r="D33">
        <v>0.83333333333333337</v>
      </c>
      <c r="E33">
        <v>0.86956521739130432</v>
      </c>
      <c r="F33">
        <v>0.91594775940570328</v>
      </c>
    </row>
    <row r="34" spans="1:6" x14ac:dyDescent="0.35">
      <c r="A34" t="s">
        <v>26</v>
      </c>
      <c r="B34">
        <v>99.912816041848302</v>
      </c>
      <c r="C34">
        <v>1</v>
      </c>
      <c r="D34">
        <v>0.91666666666666663</v>
      </c>
      <c r="E34">
        <v>0.95652173913043481</v>
      </c>
      <c r="F34">
        <v>0.95789319248826288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Beekman (RIT Student)</dc:creator>
  <cp:lastModifiedBy>Alex Beekman (RIT Student)</cp:lastModifiedBy>
  <dcterms:created xsi:type="dcterms:W3CDTF">2025-01-29T01:13:17Z</dcterms:created>
  <dcterms:modified xsi:type="dcterms:W3CDTF">2025-04-07T01:45:04Z</dcterms:modified>
</cp:coreProperties>
</file>