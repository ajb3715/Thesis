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b\OneDrive\Documents\Thesis\Pipeline\"/>
    </mc:Choice>
  </mc:AlternateContent>
  <xr:revisionPtr revIDLastSave="0" documentId="13_ncr:1_{11CB8E1D-A373-4E27-8580-E1ED96F2178F}" xr6:coauthVersionLast="47" xr6:coauthVersionMax="47" xr10:uidLastSave="{00000000-0000-0000-0000-000000000000}"/>
  <bookViews>
    <workbookView xWindow="-108" yWindow="-108" windowWidth="23256" windowHeight="13896" xr2:uid="{10219E88-FFE1-4721-B87F-58FBE8BDB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3" i="1"/>
  <c r="K14" i="1" l="1"/>
  <c r="K15" i="1"/>
  <c r="K13" i="1"/>
  <c r="K12" i="1"/>
  <c r="K11" i="1"/>
  <c r="J11" i="1"/>
  <c r="K10" i="1"/>
  <c r="K9" i="1"/>
  <c r="K8" i="1"/>
  <c r="K7" i="1"/>
  <c r="K6" i="1"/>
  <c r="K5" i="1"/>
  <c r="J5" i="1"/>
  <c r="K4" i="1"/>
  <c r="K3" i="1"/>
  <c r="J3" i="1"/>
  <c r="J15" i="1" l="1"/>
  <c r="J6" i="1"/>
  <c r="J4" i="1"/>
  <c r="J10" i="1"/>
  <c r="J8" i="1"/>
  <c r="J7" i="1"/>
  <c r="J13" i="1"/>
  <c r="J14" i="1"/>
  <c r="J12" i="1"/>
  <c r="J9" i="1"/>
</calcChain>
</file>

<file path=xl/sharedStrings.xml><?xml version="1.0" encoding="utf-8"?>
<sst xmlns="http://schemas.openxmlformats.org/spreadsheetml/2006/main" count="40" uniqueCount="39">
  <si>
    <t>Program</t>
  </si>
  <si>
    <t>Blackscholes</t>
  </si>
  <si>
    <t>TP</t>
  </si>
  <si>
    <t>FP</t>
  </si>
  <si>
    <t>FN</t>
  </si>
  <si>
    <t>TN</t>
  </si>
  <si>
    <t>ACC (%)</t>
  </si>
  <si>
    <t>Noise Percantages</t>
  </si>
  <si>
    <t>Upsampling</t>
  </si>
  <si>
    <t>Bodytrack</t>
  </si>
  <si>
    <t>Canneal</t>
  </si>
  <si>
    <t>Nu and Gamma</t>
  </si>
  <si>
    <t>Dedup</t>
  </si>
  <si>
    <t>Facesim</t>
  </si>
  <si>
    <t>Ferret</t>
  </si>
  <si>
    <t>Fluidanimate</t>
  </si>
  <si>
    <t>Nu: 0.0001, Gamma: 0.0001</t>
  </si>
  <si>
    <t>Freqmine</t>
  </si>
  <si>
    <t>Raytrace</t>
  </si>
  <si>
    <t>Streamcluster</t>
  </si>
  <si>
    <t>Swaptions</t>
  </si>
  <si>
    <t>Vips</t>
  </si>
  <si>
    <t>X264</t>
  </si>
  <si>
    <t>Precision</t>
  </si>
  <si>
    <t>Recall</t>
  </si>
  <si>
    <t>F1-Score</t>
  </si>
  <si>
    <t>Specificity</t>
  </si>
  <si>
    <t>Pipeline</t>
  </si>
  <si>
    <t>Nu: 0.9, Gamma: 0.2</t>
  </si>
  <si>
    <t>Nu: 0.99, Gamma: 0.005</t>
  </si>
  <si>
    <t>Nu: 0.2, Gamma: 0.7</t>
  </si>
  <si>
    <t>Nu: 0.5, Gamma: 0.2</t>
  </si>
  <si>
    <t>Nu: 0.9, Gamma: 0.9</t>
  </si>
  <si>
    <t>Nu: 0.99, Gamma: 0.0002</t>
  </si>
  <si>
    <t>Nu: 0.9, Gamma: 0.5</t>
  </si>
  <si>
    <t>Nu: 0.2, Gamma: 0.9</t>
  </si>
  <si>
    <t>Nu: 0.5, Gamma: 0.7</t>
  </si>
  <si>
    <t>Nu: 0.99, Gamma: 0.99</t>
  </si>
  <si>
    <t>Nu: 0.5, Gamma: 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</si>
</sst>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D5F6-01AE-4A3B-A6DC-B2A5E21A756E}">
  <dimension ref="A1:M15"/>
  <sheetViews>
    <sheetView tabSelected="1" topLeftCell="B1" zoomScale="175" zoomScaleNormal="175" workbookViewId="0">
      <selection activeCell="J11" sqref="J11"/>
    </sheetView>
  </sheetViews>
  <sheetFormatPr defaultRowHeight="14.4" x14ac:dyDescent="0.3"/>
  <cols>
    <col min="1" max="1" width="19.77734375" customWidth="1"/>
    <col min="2" max="2" width="21.21875" customWidth="1"/>
    <col min="12" max="12" width="12.21875" customWidth="1"/>
  </cols>
  <sheetData>
    <row r="1" spans="1:13" x14ac:dyDescent="0.3">
      <c r="A1" t="s">
        <v>27</v>
      </c>
    </row>
    <row r="2" spans="1:13" x14ac:dyDescent="0.3">
      <c r="A2" t="s">
        <v>0</v>
      </c>
      <c r="B2" t="s">
        <v>11</v>
      </c>
      <c r="C2" t="s">
        <v>2</v>
      </c>
      <c r="D2" t="s">
        <v>4</v>
      </c>
      <c r="E2" t="s">
        <v>3</v>
      </c>
      <c r="F2" t="s">
        <v>5</v>
      </c>
      <c r="G2" t="s">
        <v>6</v>
      </c>
      <c r="H2" t="s">
        <v>23</v>
      </c>
      <c r="I2" t="s">
        <v>24</v>
      </c>
      <c r="J2" t="s">
        <v>25</v>
      </c>
      <c r="K2" t="s">
        <v>26</v>
      </c>
      <c r="L2" t="s">
        <v>7</v>
      </c>
      <c r="M2" t="s">
        <v>8</v>
      </c>
    </row>
    <row r="3" spans="1:13" x14ac:dyDescent="0.3">
      <c r="A3" t="s">
        <v>1</v>
      </c>
      <c r="B3" t="s">
        <v>28</v>
      </c>
      <c r="C3">
        <v>2</v>
      </c>
      <c r="D3">
        <v>0</v>
      </c>
      <c r="E3">
        <v>1</v>
      </c>
      <c r="F3">
        <v>13</v>
      </c>
      <c r="G3">
        <v>93.75</v>
      </c>
      <c r="H3">
        <f>(C3)/(C3+E3)</f>
        <v>0.66666666666666663</v>
      </c>
      <c r="I3">
        <f>C3/(C3+D3)</f>
        <v>1</v>
      </c>
      <c r="J3">
        <f>(2*(H3*I3))/(H3+I3)</f>
        <v>0.8</v>
      </c>
      <c r="K3">
        <f>F3/(F3+D3)</f>
        <v>1</v>
      </c>
      <c r="L3">
        <v>0</v>
      </c>
      <c r="M3">
        <v>40</v>
      </c>
    </row>
    <row r="4" spans="1:13" x14ac:dyDescent="0.3">
      <c r="A4" t="s">
        <v>9</v>
      </c>
      <c r="B4" t="s">
        <v>16</v>
      </c>
      <c r="C4">
        <v>0</v>
      </c>
      <c r="D4">
        <v>4</v>
      </c>
      <c r="E4">
        <v>0</v>
      </c>
      <c r="F4">
        <v>41</v>
      </c>
      <c r="G4">
        <v>91.1111111111111</v>
      </c>
      <c r="H4" t="e">
        <f t="shared" ref="H4:H15" si="0">(C4)/(C4+E4)</f>
        <v>#DIV/0!</v>
      </c>
      <c r="I4">
        <f t="shared" ref="I4:I15" si="1">C4/(C4+D4)</f>
        <v>0</v>
      </c>
      <c r="J4" t="e">
        <f t="shared" ref="J4:J13" si="2">(2*(H4*I4))/(H4+I4)</f>
        <v>#DIV/0!</v>
      </c>
      <c r="K4">
        <f>F4/(F4+D4)</f>
        <v>0.91111111111111109</v>
      </c>
      <c r="L4">
        <v>0</v>
      </c>
      <c r="M4">
        <v>40</v>
      </c>
    </row>
    <row r="5" spans="1:13" x14ac:dyDescent="0.3">
      <c r="A5" t="s">
        <v>10</v>
      </c>
      <c r="B5" t="s">
        <v>29</v>
      </c>
      <c r="C5">
        <v>1</v>
      </c>
      <c r="D5">
        <v>4</v>
      </c>
      <c r="E5">
        <v>0</v>
      </c>
      <c r="F5">
        <v>53</v>
      </c>
      <c r="G5">
        <v>93.103448275861993</v>
      </c>
      <c r="H5">
        <f t="shared" si="0"/>
        <v>1</v>
      </c>
      <c r="I5">
        <f t="shared" si="1"/>
        <v>0.2</v>
      </c>
      <c r="J5">
        <f t="shared" si="2"/>
        <v>0.33333333333333337</v>
      </c>
      <c r="K5">
        <f>F5/(F5+D5)</f>
        <v>0.92982456140350878</v>
      </c>
      <c r="L5">
        <v>0</v>
      </c>
      <c r="M5">
        <v>40</v>
      </c>
    </row>
    <row r="6" spans="1:13" x14ac:dyDescent="0.3">
      <c r="A6" t="s">
        <v>12</v>
      </c>
      <c r="B6" t="s">
        <v>30</v>
      </c>
      <c r="C6">
        <v>7</v>
      </c>
      <c r="D6">
        <v>3</v>
      </c>
      <c r="E6">
        <v>1</v>
      </c>
      <c r="F6">
        <v>23061</v>
      </c>
      <c r="G6">
        <v>99.982662970000007</v>
      </c>
      <c r="H6">
        <f t="shared" si="0"/>
        <v>0.875</v>
      </c>
      <c r="I6">
        <f t="shared" si="1"/>
        <v>0.7</v>
      </c>
      <c r="J6">
        <f t="shared" si="2"/>
        <v>0.77777777777777768</v>
      </c>
      <c r="K6">
        <f>F6/(F6+D6)</f>
        <v>0.99986992715920919</v>
      </c>
      <c r="L6">
        <v>0</v>
      </c>
      <c r="M6">
        <v>40</v>
      </c>
    </row>
    <row r="7" spans="1:13" x14ac:dyDescent="0.3">
      <c r="A7" t="s">
        <v>13</v>
      </c>
      <c r="B7" t="s">
        <v>31</v>
      </c>
      <c r="C7">
        <v>14</v>
      </c>
      <c r="D7">
        <v>9</v>
      </c>
      <c r="E7">
        <v>0</v>
      </c>
      <c r="F7">
        <v>1268</v>
      </c>
      <c r="G7">
        <v>99.302865995352406</v>
      </c>
      <c r="H7">
        <f t="shared" si="0"/>
        <v>1</v>
      </c>
      <c r="I7">
        <f t="shared" si="1"/>
        <v>0.60869565217391308</v>
      </c>
      <c r="J7">
        <f t="shared" si="2"/>
        <v>0.7567567567567568</v>
      </c>
      <c r="K7">
        <f>F7/(F7+D7)</f>
        <v>0.99295223179326542</v>
      </c>
      <c r="L7">
        <v>0</v>
      </c>
      <c r="M7">
        <v>40</v>
      </c>
    </row>
    <row r="8" spans="1:13" x14ac:dyDescent="0.3">
      <c r="A8" t="s">
        <v>14</v>
      </c>
      <c r="B8" t="s">
        <v>32</v>
      </c>
      <c r="C8">
        <v>1</v>
      </c>
      <c r="D8">
        <v>3</v>
      </c>
      <c r="E8">
        <v>0</v>
      </c>
      <c r="F8">
        <v>122</v>
      </c>
      <c r="G8">
        <v>97.619047619047606</v>
      </c>
      <c r="H8">
        <f t="shared" si="0"/>
        <v>1</v>
      </c>
      <c r="I8">
        <f t="shared" si="1"/>
        <v>0.25</v>
      </c>
      <c r="J8">
        <f t="shared" si="2"/>
        <v>0.4</v>
      </c>
      <c r="K8">
        <f>F8/(F8+D8)</f>
        <v>0.97599999999999998</v>
      </c>
      <c r="L8">
        <v>0</v>
      </c>
      <c r="M8">
        <v>40</v>
      </c>
    </row>
    <row r="9" spans="1:13" x14ac:dyDescent="0.3">
      <c r="A9" t="s">
        <v>15</v>
      </c>
      <c r="B9" t="s">
        <v>33</v>
      </c>
      <c r="C9">
        <v>1</v>
      </c>
      <c r="D9">
        <v>3</v>
      </c>
      <c r="E9">
        <v>0</v>
      </c>
      <c r="F9">
        <v>34</v>
      </c>
      <c r="G9">
        <v>92.105263157894697</v>
      </c>
      <c r="H9">
        <f t="shared" si="0"/>
        <v>1</v>
      </c>
      <c r="I9">
        <f t="shared" si="1"/>
        <v>0.25</v>
      </c>
      <c r="J9">
        <f>(2*(H9*I9))/(H9+I9)</f>
        <v>0.4</v>
      </c>
      <c r="K9">
        <f>F9/(F9+D9)</f>
        <v>0.91891891891891897</v>
      </c>
      <c r="L9">
        <v>0</v>
      </c>
      <c r="M9">
        <v>40</v>
      </c>
    </row>
    <row r="10" spans="1:13" x14ac:dyDescent="0.3">
      <c r="A10" t="s">
        <v>17</v>
      </c>
      <c r="B10" t="s">
        <v>34</v>
      </c>
      <c r="C10">
        <v>1</v>
      </c>
      <c r="D10">
        <v>3</v>
      </c>
      <c r="E10">
        <v>0</v>
      </c>
      <c r="F10">
        <v>182</v>
      </c>
      <c r="G10">
        <v>98.387096769999999</v>
      </c>
      <c r="H10">
        <f t="shared" si="0"/>
        <v>1</v>
      </c>
      <c r="I10">
        <f t="shared" si="1"/>
        <v>0.25</v>
      </c>
      <c r="J10">
        <f t="shared" si="2"/>
        <v>0.4</v>
      </c>
      <c r="K10">
        <f>F10/(F10+D10)</f>
        <v>0.98378378378378384</v>
      </c>
      <c r="L10">
        <v>0</v>
      </c>
      <c r="M10">
        <v>40</v>
      </c>
    </row>
    <row r="11" spans="1:13" x14ac:dyDescent="0.3">
      <c r="A11" t="s">
        <v>18</v>
      </c>
      <c r="B11" t="s">
        <v>37</v>
      </c>
      <c r="C11">
        <v>0</v>
      </c>
      <c r="D11">
        <v>4</v>
      </c>
      <c r="E11">
        <v>0</v>
      </c>
      <c r="F11">
        <v>26</v>
      </c>
      <c r="G11">
        <v>86.6666666666666</v>
      </c>
      <c r="H11" t="e">
        <f t="shared" si="0"/>
        <v>#DIV/0!</v>
      </c>
      <c r="I11">
        <f t="shared" si="1"/>
        <v>0</v>
      </c>
      <c r="J11" t="e">
        <f t="shared" si="2"/>
        <v>#DIV/0!</v>
      </c>
      <c r="K11">
        <f>F12/(F12+D12)</f>
        <v>1</v>
      </c>
      <c r="L11">
        <v>0</v>
      </c>
      <c r="M11">
        <v>40</v>
      </c>
    </row>
    <row r="12" spans="1:13" x14ac:dyDescent="0.3">
      <c r="A12" t="s">
        <v>19</v>
      </c>
      <c r="B12" t="s">
        <v>35</v>
      </c>
      <c r="C12">
        <v>12</v>
      </c>
      <c r="D12">
        <v>0</v>
      </c>
      <c r="E12">
        <v>1</v>
      </c>
      <c r="F12">
        <v>291</v>
      </c>
      <c r="G12">
        <v>99.671052631578902</v>
      </c>
      <c r="H12">
        <f t="shared" si="0"/>
        <v>0.92307692307692313</v>
      </c>
      <c r="I12">
        <f t="shared" si="1"/>
        <v>1</v>
      </c>
      <c r="J12">
        <f t="shared" si="2"/>
        <v>0.96000000000000008</v>
      </c>
      <c r="K12" t="e">
        <f>#REF!/(#REF!+#REF!)</f>
        <v>#REF!</v>
      </c>
      <c r="L12">
        <v>10</v>
      </c>
      <c r="M12">
        <v>40</v>
      </c>
    </row>
    <row r="13" spans="1:13" x14ac:dyDescent="0.3">
      <c r="A13" t="s">
        <v>20</v>
      </c>
      <c r="B13" t="s">
        <v>36</v>
      </c>
      <c r="C13">
        <v>3</v>
      </c>
      <c r="D13">
        <v>2</v>
      </c>
      <c r="E13">
        <v>0</v>
      </c>
      <c r="F13">
        <v>28</v>
      </c>
      <c r="G13">
        <v>93.939393939393895</v>
      </c>
      <c r="H13">
        <f t="shared" si="0"/>
        <v>1</v>
      </c>
      <c r="I13">
        <f t="shared" si="1"/>
        <v>0.6</v>
      </c>
      <c r="J13">
        <f t="shared" si="2"/>
        <v>0.74999999999999989</v>
      </c>
      <c r="K13">
        <f>F13/(F13+D13)</f>
        <v>0.93333333333333335</v>
      </c>
      <c r="L13">
        <v>10</v>
      </c>
      <c r="M13">
        <v>40</v>
      </c>
    </row>
    <row r="14" spans="1:13" x14ac:dyDescent="0.3">
      <c r="A14" t="s">
        <v>21</v>
      </c>
      <c r="B14" t="s">
        <v>37</v>
      </c>
      <c r="C14">
        <v>1</v>
      </c>
      <c r="D14">
        <v>11</v>
      </c>
      <c r="E14">
        <v>0</v>
      </c>
      <c r="F14">
        <v>118</v>
      </c>
      <c r="G14">
        <v>91.53846154</v>
      </c>
      <c r="H14">
        <f t="shared" si="0"/>
        <v>1</v>
      </c>
      <c r="I14">
        <f t="shared" si="1"/>
        <v>8.3333333333333329E-2</v>
      </c>
      <c r="J14">
        <f t="shared" ref="J14:J15" si="3">(2*(H14*I14))/(H14+I14)</f>
        <v>0.15384615384615385</v>
      </c>
      <c r="K14">
        <f>F14/(F14+D14)</f>
        <v>0.9147286821705426</v>
      </c>
      <c r="L14">
        <v>0</v>
      </c>
      <c r="M14">
        <v>40</v>
      </c>
    </row>
    <row r="15" spans="1:13" x14ac:dyDescent="0.3">
      <c r="A15" t="s">
        <v>22</v>
      </c>
      <c r="B15" t="s">
        <v>38</v>
      </c>
      <c r="C15">
        <v>251</v>
      </c>
      <c r="D15">
        <v>251</v>
      </c>
      <c r="E15">
        <v>77</v>
      </c>
      <c r="F15">
        <v>4939</v>
      </c>
      <c r="G15">
        <v>94.0558173251178</v>
      </c>
      <c r="H15">
        <f t="shared" si="0"/>
        <v>0.7652439024390244</v>
      </c>
      <c r="I15">
        <f t="shared" si="1"/>
        <v>0.5</v>
      </c>
      <c r="J15">
        <f t="shared" si="3"/>
        <v>0.60481927710843375</v>
      </c>
      <c r="K15">
        <f>F15/(F15+D15)</f>
        <v>0.95163776493256258</v>
      </c>
      <c r="L15">
        <v>0</v>
      </c>
      <c r="M1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Beekman (RIT Student)</dc:creator>
  <cp:lastModifiedBy>Alex Beekman (RIT Student)</cp:lastModifiedBy>
  <dcterms:created xsi:type="dcterms:W3CDTF">2025-01-29T15:27:11Z</dcterms:created>
  <dcterms:modified xsi:type="dcterms:W3CDTF">2025-03-12T00:09:14Z</dcterms:modified>
</cp:coreProperties>
</file>