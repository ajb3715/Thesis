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b\OneDrive\Documents\Thesis\IncreasedSamplingMRUCache\"/>
    </mc:Choice>
  </mc:AlternateContent>
  <xr:revisionPtr revIDLastSave="0" documentId="13_ncr:1_{43484C96-1E25-4DF0-93E3-C77317AC3EC0}" xr6:coauthVersionLast="47" xr6:coauthVersionMax="47" xr10:uidLastSave="{00000000-0000-0000-0000-000000000000}"/>
  <bookViews>
    <workbookView xWindow="-110" yWindow="-110" windowWidth="38620" windowHeight="21100" xr2:uid="{84A3B88E-B226-40B3-A64E-0FDCC502A4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1" l="1"/>
  <c r="I13" i="1"/>
  <c r="H10" i="1"/>
  <c r="H13" i="1"/>
  <c r="I5" i="1"/>
  <c r="H5" i="1"/>
  <c r="J5" i="1" s="1"/>
  <c r="K13" i="1"/>
  <c r="K10" i="1"/>
  <c r="J10" i="1"/>
  <c r="K5" i="1"/>
  <c r="J13" i="1" l="1"/>
</calcChain>
</file>

<file path=xl/sharedStrings.xml><?xml version="1.0" encoding="utf-8"?>
<sst xmlns="http://schemas.openxmlformats.org/spreadsheetml/2006/main" count="19" uniqueCount="19">
  <si>
    <t>Program</t>
  </si>
  <si>
    <t>Canneal</t>
  </si>
  <si>
    <t>Raytrace</t>
  </si>
  <si>
    <t>Vips</t>
  </si>
  <si>
    <t>TP</t>
  </si>
  <si>
    <t>FP</t>
  </si>
  <si>
    <t>FN</t>
  </si>
  <si>
    <t>TN</t>
  </si>
  <si>
    <t>ACC (%)</t>
  </si>
  <si>
    <t>Noise Percantages</t>
  </si>
  <si>
    <t>Upsampling</t>
  </si>
  <si>
    <t>Precision</t>
  </si>
  <si>
    <t>Recall</t>
  </si>
  <si>
    <t>F1-Score</t>
  </si>
  <si>
    <t>Specificity</t>
  </si>
  <si>
    <t>NU and Gamma</t>
  </si>
  <si>
    <t>Nu: 0.99, Gamma: 0.2</t>
  </si>
  <si>
    <t>Nu: 0.99, Gamma: 0.05</t>
  </si>
  <si>
    <t>Nu: 0.0001, Gamma: 0.0001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</si>
</sst>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EE7E4-9A64-4328-97BF-22E9AA604A6A}">
  <dimension ref="A2:M13"/>
  <sheetViews>
    <sheetView tabSelected="1" zoomScaleNormal="100" workbookViewId="0">
      <selection activeCell="V11" sqref="V11"/>
    </sheetView>
  </sheetViews>
  <sheetFormatPr defaultRowHeight="14.5" x14ac:dyDescent="0.35"/>
  <cols>
    <col min="1" max="1" width="34.36328125" customWidth="1"/>
    <col min="2" max="2" width="29" customWidth="1"/>
    <col min="7" max="7" width="22.1796875" customWidth="1"/>
    <col min="11" max="11" width="14.81640625" customWidth="1"/>
  </cols>
  <sheetData>
    <row r="2" spans="1:13" x14ac:dyDescent="0.35">
      <c r="A2" t="s">
        <v>0</v>
      </c>
      <c r="B2" t="s">
        <v>15</v>
      </c>
      <c r="C2" t="s">
        <v>4</v>
      </c>
      <c r="D2" t="s">
        <v>6</v>
      </c>
      <c r="E2" t="s">
        <v>5</v>
      </c>
      <c r="F2" t="s">
        <v>7</v>
      </c>
      <c r="G2" t="s">
        <v>8</v>
      </c>
      <c r="H2" t="s">
        <v>11</v>
      </c>
      <c r="I2" t="s">
        <v>12</v>
      </c>
      <c r="J2" t="s">
        <v>13</v>
      </c>
      <c r="K2" t="s">
        <v>14</v>
      </c>
      <c r="L2" t="s">
        <v>9</v>
      </c>
      <c r="M2" t="s">
        <v>10</v>
      </c>
    </row>
    <row r="5" spans="1:13" x14ac:dyDescent="0.35">
      <c r="A5" t="s">
        <v>1</v>
      </c>
      <c r="B5" t="s">
        <v>18</v>
      </c>
      <c r="C5">
        <v>0</v>
      </c>
      <c r="D5">
        <v>5</v>
      </c>
      <c r="E5">
        <v>0</v>
      </c>
      <c r="F5">
        <v>50</v>
      </c>
      <c r="G5">
        <v>90.909090910000003</v>
      </c>
      <c r="H5" t="e">
        <f>(C5)/(C5+E5)</f>
        <v>#DIV/0!</v>
      </c>
      <c r="I5">
        <f>C5/(C5+D5)</f>
        <v>0</v>
      </c>
      <c r="J5" t="e">
        <f t="shared" ref="J5:J13" si="0">(2*(H5*I5))/(H5+I5)</f>
        <v>#DIV/0!</v>
      </c>
      <c r="K5">
        <f>F5/(F5+D5)</f>
        <v>0.90909090909090906</v>
      </c>
      <c r="L5">
        <v>0</v>
      </c>
      <c r="M5">
        <v>40</v>
      </c>
    </row>
    <row r="10" spans="1:13" x14ac:dyDescent="0.35">
      <c r="A10" t="s">
        <v>2</v>
      </c>
      <c r="B10" t="s">
        <v>16</v>
      </c>
      <c r="C10">
        <v>1</v>
      </c>
      <c r="D10">
        <v>0</v>
      </c>
      <c r="E10">
        <v>2</v>
      </c>
      <c r="F10">
        <v>32</v>
      </c>
      <c r="G10">
        <v>94.285714285714207</v>
      </c>
      <c r="H10">
        <f>(C10)/(C10+E10)</f>
        <v>0.33333333333333331</v>
      </c>
      <c r="I10">
        <f>C10/(C10+D10)</f>
        <v>1</v>
      </c>
      <c r="J10">
        <f t="shared" si="0"/>
        <v>0.5</v>
      </c>
      <c r="K10">
        <f>F10/(F10+D10)</f>
        <v>1</v>
      </c>
      <c r="L10">
        <v>10</v>
      </c>
      <c r="M10">
        <v>40</v>
      </c>
    </row>
    <row r="13" spans="1:13" x14ac:dyDescent="0.35">
      <c r="A13" t="s">
        <v>3</v>
      </c>
      <c r="B13" t="s">
        <v>17</v>
      </c>
      <c r="C13">
        <v>1</v>
      </c>
      <c r="D13">
        <v>11</v>
      </c>
      <c r="E13">
        <v>0</v>
      </c>
      <c r="F13">
        <v>116</v>
      </c>
      <c r="G13">
        <v>91.970802919708007</v>
      </c>
      <c r="H13">
        <f>(C13)/(C13+E13)</f>
        <v>1</v>
      </c>
      <c r="I13">
        <f>C13/(C13+D13)</f>
        <v>8.3333333333333329E-2</v>
      </c>
      <c r="J13">
        <f t="shared" si="0"/>
        <v>0.15384615384615385</v>
      </c>
      <c r="K13">
        <f>F13/(F13+D13)</f>
        <v>0.91338582677165359</v>
      </c>
      <c r="L13">
        <v>0</v>
      </c>
      <c r="M13">
        <v>40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Beekman (RIT Student)</dc:creator>
  <cp:lastModifiedBy>Alex Beekman (RIT Student)</cp:lastModifiedBy>
  <dcterms:created xsi:type="dcterms:W3CDTF">2025-01-29T01:13:17Z</dcterms:created>
  <dcterms:modified xsi:type="dcterms:W3CDTF">2025-03-19T21:42:26Z</dcterms:modified>
</cp:coreProperties>
</file>