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b\OneDrive\Documents\Thesis\MRUCache\"/>
    </mc:Choice>
  </mc:AlternateContent>
  <xr:revisionPtr revIDLastSave="0" documentId="13_ncr:1_{DC55C915-3E83-4678-B6D4-5DDB528C3468}" xr6:coauthVersionLast="47" xr6:coauthVersionMax="47" xr10:uidLastSave="{00000000-0000-0000-0000-000000000000}"/>
  <bookViews>
    <workbookView xWindow="28680" yWindow="405" windowWidth="29040" windowHeight="15720" xr2:uid="{10219E88-FFE1-4721-B87F-58FBE8BDB3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 a="1"/>
  <c r="H13" i="1" s="1"/>
  <c r="J13" i="1" s="1"/>
  <c r="H14" i="1"/>
  <c r="J14" i="1" s="1"/>
  <c r="I14" i="1"/>
  <c r="K14" i="1"/>
  <c r="H15" i="1"/>
  <c r="I15" i="1"/>
  <c r="J15" i="1"/>
  <c r="K15" i="1"/>
  <c r="K13" i="1"/>
  <c r="I13" i="1"/>
  <c r="K12" i="1"/>
  <c r="I12" i="1"/>
  <c r="H12" i="1"/>
  <c r="J12" i="1" s="1"/>
  <c r="K11" i="1"/>
  <c r="J11" i="1"/>
  <c r="I11" i="1"/>
  <c r="H11" i="1"/>
  <c r="K10" i="1"/>
  <c r="J10" i="1"/>
  <c r="I10" i="1"/>
  <c r="H10" i="1"/>
  <c r="K9" i="1"/>
  <c r="I9" i="1"/>
  <c r="H9" i="1"/>
  <c r="J9" i="1" s="1"/>
  <c r="K8" i="1"/>
  <c r="I8" i="1"/>
  <c r="H8" i="1"/>
  <c r="J8" i="1" s="1"/>
  <c r="K7" i="1"/>
  <c r="J7" i="1"/>
  <c r="I7" i="1"/>
  <c r="H7" i="1"/>
  <c r="K6" i="1"/>
  <c r="J6" i="1"/>
  <c r="I6" i="1"/>
  <c r="H6" i="1"/>
  <c r="K5" i="1"/>
  <c r="I5" i="1"/>
  <c r="H5" i="1"/>
  <c r="J5" i="1" s="1"/>
  <c r="K4" i="1"/>
  <c r="J4" i="1"/>
  <c r="I4" i="1"/>
  <c r="H4" i="1"/>
  <c r="K3" i="1"/>
  <c r="I3" i="1"/>
  <c r="H3" i="1"/>
  <c r="J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<sst xmlns="http://schemas.openxmlformats.org/spreadsheetml/2006/main" count="40" uniqueCount="40">
  <si>
    <t>MRURP</t>
  </si>
  <si>
    <t>Program</t>
  </si>
  <si>
    <t>Nu: 0.7, Gamma: 0.5</t>
  </si>
  <si>
    <t>Blackscholes</t>
  </si>
  <si>
    <t>TP</t>
  </si>
  <si>
    <t>FP</t>
  </si>
  <si>
    <t>FN</t>
  </si>
  <si>
    <t>TN</t>
  </si>
  <si>
    <t>ACC (%)</t>
  </si>
  <si>
    <t>Noise Percantages</t>
  </si>
  <si>
    <t>Upsampling</t>
  </si>
  <si>
    <t>Nu: 0.0001, Gamma: 0.5</t>
  </si>
  <si>
    <t>Bodytrack</t>
  </si>
  <si>
    <t>Nu: 0.99, Gamma: 0.9</t>
  </si>
  <si>
    <t>Canneal</t>
  </si>
  <si>
    <t>Nu and Gamma</t>
  </si>
  <si>
    <t>Nu: 0.0002, Gamma: 0.7</t>
  </si>
  <si>
    <t>Dedup</t>
  </si>
  <si>
    <t>Nu: 0.2, Gamma: 0.5</t>
  </si>
  <si>
    <t>Facesim</t>
  </si>
  <si>
    <t>Nu: 0.0001, Gamma: 0.9</t>
  </si>
  <si>
    <t>Ferret</t>
  </si>
  <si>
    <t>Nu: 0.99, Gamma: 0.7</t>
  </si>
  <si>
    <t>Fluidanimate</t>
  </si>
  <si>
    <t>Nu: 0.0001, Gamma: 0.0001</t>
  </si>
  <si>
    <t>Freqmine</t>
  </si>
  <si>
    <t>Nu: 0.99, Gamma: 0.005</t>
  </si>
  <si>
    <t>Raytrace</t>
  </si>
  <si>
    <t>Nu: 0.2, Gamma: 0.7</t>
  </si>
  <si>
    <t>Streamcluster</t>
  </si>
  <si>
    <t>Nu: 0.0002, Gamma: 0.99</t>
  </si>
  <si>
    <t>Swaptions</t>
  </si>
  <si>
    <t>Nu: 0.99, Gamma: 0.99</t>
  </si>
  <si>
    <t>Vips</t>
  </si>
  <si>
    <t>Nu: 0.5, Gamma: 0.9</t>
  </si>
  <si>
    <t>X264</t>
  </si>
  <si>
    <t>Precision</t>
  </si>
  <si>
    <t>Recall</t>
  </si>
  <si>
    <t>F1-Score</t>
  </si>
  <si>
    <t>Specificity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</si>
</sst>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ED5F6-01AE-4A3B-A6DC-B2A5E21A756E}">
  <dimension ref="A1:M15"/>
  <sheetViews>
    <sheetView tabSelected="1" zoomScale="175" zoomScaleNormal="175" workbookViewId="0">
      <selection activeCell="B19" sqref="B19"/>
    </sheetView>
  </sheetViews>
  <sheetFormatPr defaultRowHeight="15" x14ac:dyDescent="0.25"/>
  <cols>
    <col min="1" max="1" width="19.85546875" customWidth="1"/>
    <col min="2" max="2" width="21.28515625" customWidth="1"/>
  </cols>
  <sheetData>
    <row r="1" spans="1:13" x14ac:dyDescent="0.25">
      <c r="A1" t="s">
        <v>0</v>
      </c>
    </row>
    <row r="2" spans="1:13" x14ac:dyDescent="0.25">
      <c r="A2" t="s">
        <v>1</v>
      </c>
      <c r="B2" t="s">
        <v>15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36</v>
      </c>
      <c r="I2" t="s">
        <v>37</v>
      </c>
      <c r="J2" t="s">
        <v>38</v>
      </c>
      <c r="K2" t="s">
        <v>39</v>
      </c>
      <c r="L2" t="s">
        <v>9</v>
      </c>
      <c r="M2" t="s">
        <v>10</v>
      </c>
    </row>
    <row r="3" spans="1:13" x14ac:dyDescent="0.25">
      <c r="A3" t="s">
        <v>3</v>
      </c>
      <c r="B3" t="s">
        <v>2</v>
      </c>
      <c r="C3">
        <v>2</v>
      </c>
      <c r="D3">
        <v>0</v>
      </c>
      <c r="E3">
        <v>0</v>
      </c>
      <c r="F3">
        <v>18</v>
      </c>
      <c r="G3">
        <v>100</v>
      </c>
      <c r="H3">
        <f>(C3)/(C3+D3)</f>
        <v>1</v>
      </c>
      <c r="I3">
        <f>C3/(C3+E3)</f>
        <v>1</v>
      </c>
      <c r="J3">
        <f>(2*(H3*I3))/(H3+I3)</f>
        <v>1</v>
      </c>
      <c r="K3">
        <f>F3/(F3+D3)</f>
        <v>1</v>
      </c>
      <c r="L3">
        <v>0</v>
      </c>
      <c r="M3">
        <v>40</v>
      </c>
    </row>
    <row r="4" spans="1:13" x14ac:dyDescent="0.25">
      <c r="A4" t="s">
        <v>12</v>
      </c>
      <c r="B4" t="s">
        <v>11</v>
      </c>
      <c r="C4">
        <v>2</v>
      </c>
      <c r="D4">
        <v>2</v>
      </c>
      <c r="E4">
        <v>0</v>
      </c>
      <c r="F4">
        <v>41</v>
      </c>
      <c r="G4">
        <v>95.555555560000002</v>
      </c>
      <c r="H4">
        <f t="shared" ref="H4:H12" si="0">(C4)/(C4+D4)</f>
        <v>0.5</v>
      </c>
      <c r="I4">
        <f t="shared" ref="I4:I13" si="1">C4/(C4+E4)</f>
        <v>1</v>
      </c>
      <c r="J4">
        <f t="shared" ref="J4:J13" si="2">(2*(H4*I4))/(H4+I4)</f>
        <v>0.66666666666666663</v>
      </c>
      <c r="K4">
        <f t="shared" ref="K4:K13" si="3">F4/(F4+D4)</f>
        <v>0.95348837209302328</v>
      </c>
      <c r="L4">
        <v>0</v>
      </c>
      <c r="M4">
        <v>40</v>
      </c>
    </row>
    <row r="5" spans="1:13" x14ac:dyDescent="0.25">
      <c r="A5" t="s">
        <v>14</v>
      </c>
      <c r="B5" t="s">
        <v>13</v>
      </c>
      <c r="C5">
        <v>3</v>
      </c>
      <c r="D5">
        <v>3</v>
      </c>
      <c r="E5">
        <v>2</v>
      </c>
      <c r="F5">
        <v>36</v>
      </c>
      <c r="G5">
        <v>88.636363639999999</v>
      </c>
      <c r="H5">
        <f t="shared" si="0"/>
        <v>0.5</v>
      </c>
      <c r="I5">
        <f t="shared" si="1"/>
        <v>0.6</v>
      </c>
      <c r="J5">
        <f t="shared" si="2"/>
        <v>0.54545454545454541</v>
      </c>
      <c r="K5">
        <f t="shared" si="3"/>
        <v>0.92307692307692313</v>
      </c>
      <c r="L5">
        <v>10</v>
      </c>
      <c r="M5">
        <v>40</v>
      </c>
    </row>
    <row r="6" spans="1:13" x14ac:dyDescent="0.25">
      <c r="A6" t="s">
        <v>17</v>
      </c>
      <c r="B6" t="s">
        <v>16</v>
      </c>
      <c r="C6">
        <v>6</v>
      </c>
      <c r="D6">
        <v>4</v>
      </c>
      <c r="E6">
        <v>1</v>
      </c>
      <c r="F6">
        <v>267</v>
      </c>
      <c r="G6">
        <v>98.201438850000002</v>
      </c>
      <c r="H6">
        <f t="shared" si="0"/>
        <v>0.6</v>
      </c>
      <c r="I6">
        <f t="shared" si="1"/>
        <v>0.8571428571428571</v>
      </c>
      <c r="J6">
        <f t="shared" si="2"/>
        <v>0.70588235294117641</v>
      </c>
      <c r="K6">
        <f t="shared" si="3"/>
        <v>0.98523985239852396</v>
      </c>
      <c r="L6">
        <v>0</v>
      </c>
      <c r="M6">
        <v>40</v>
      </c>
    </row>
    <row r="7" spans="1:13" x14ac:dyDescent="0.25">
      <c r="A7" t="s">
        <v>19</v>
      </c>
      <c r="B7" t="s">
        <v>18</v>
      </c>
      <c r="C7">
        <v>20</v>
      </c>
      <c r="D7">
        <v>4</v>
      </c>
      <c r="E7">
        <v>1</v>
      </c>
      <c r="F7">
        <v>1331</v>
      </c>
      <c r="G7">
        <v>99.631268439999999</v>
      </c>
      <c r="H7">
        <f t="shared" si="0"/>
        <v>0.83333333333333337</v>
      </c>
      <c r="I7">
        <f t="shared" si="1"/>
        <v>0.95238095238095233</v>
      </c>
      <c r="J7">
        <f t="shared" si="2"/>
        <v>0.88888888888888895</v>
      </c>
      <c r="K7">
        <f t="shared" si="3"/>
        <v>0.99700374531835201</v>
      </c>
      <c r="L7">
        <v>0</v>
      </c>
      <c r="M7">
        <v>40</v>
      </c>
    </row>
    <row r="8" spans="1:13" x14ac:dyDescent="0.25">
      <c r="A8" t="s">
        <v>21</v>
      </c>
      <c r="B8" t="s">
        <v>20</v>
      </c>
      <c r="C8">
        <v>2</v>
      </c>
      <c r="D8">
        <v>2</v>
      </c>
      <c r="E8">
        <v>0</v>
      </c>
      <c r="F8">
        <v>137</v>
      </c>
      <c r="G8">
        <v>98.581560280000005</v>
      </c>
      <c r="H8">
        <f t="shared" si="0"/>
        <v>0.5</v>
      </c>
      <c r="I8">
        <f t="shared" si="1"/>
        <v>1</v>
      </c>
      <c r="J8">
        <f t="shared" si="2"/>
        <v>0.66666666666666663</v>
      </c>
      <c r="K8">
        <f t="shared" si="3"/>
        <v>0.98561151079136688</v>
      </c>
      <c r="L8">
        <v>0</v>
      </c>
      <c r="M8">
        <v>40</v>
      </c>
    </row>
    <row r="9" spans="1:13" x14ac:dyDescent="0.25">
      <c r="A9" t="s">
        <v>23</v>
      </c>
      <c r="B9" t="s">
        <v>22</v>
      </c>
      <c r="C9">
        <v>1</v>
      </c>
      <c r="D9">
        <v>3</v>
      </c>
      <c r="E9">
        <v>0</v>
      </c>
      <c r="F9">
        <v>36</v>
      </c>
      <c r="G9">
        <v>92.5</v>
      </c>
      <c r="H9">
        <f t="shared" si="0"/>
        <v>0.25</v>
      </c>
      <c r="I9">
        <f>C9/(C9+E9)</f>
        <v>1</v>
      </c>
      <c r="J9">
        <f>(2*(H9*I9))/(H9+I9)</f>
        <v>0.4</v>
      </c>
      <c r="K9">
        <f t="shared" si="3"/>
        <v>0.92307692307692313</v>
      </c>
      <c r="L9">
        <v>0</v>
      </c>
      <c r="M9">
        <v>40</v>
      </c>
    </row>
    <row r="10" spans="1:13" x14ac:dyDescent="0.25">
      <c r="A10" t="s">
        <v>25</v>
      </c>
      <c r="B10" t="s">
        <v>24</v>
      </c>
      <c r="C10">
        <v>0</v>
      </c>
      <c r="D10">
        <v>16</v>
      </c>
      <c r="E10">
        <v>0</v>
      </c>
      <c r="F10">
        <v>198</v>
      </c>
      <c r="G10">
        <v>92.523364490000006</v>
      </c>
      <c r="H10">
        <f t="shared" si="0"/>
        <v>0</v>
      </c>
      <c r="I10" t="e">
        <f t="shared" si="1"/>
        <v>#DIV/0!</v>
      </c>
      <c r="J10" t="e">
        <f t="shared" si="2"/>
        <v>#DIV/0!</v>
      </c>
      <c r="K10">
        <f t="shared" si="3"/>
        <v>0.92523364485981308</v>
      </c>
      <c r="L10">
        <v>0</v>
      </c>
      <c r="M10">
        <v>40</v>
      </c>
    </row>
    <row r="11" spans="1:13" x14ac:dyDescent="0.25">
      <c r="A11" t="s">
        <v>27</v>
      </c>
      <c r="B11" t="s">
        <v>26</v>
      </c>
      <c r="C11">
        <v>1</v>
      </c>
      <c r="D11">
        <v>3</v>
      </c>
      <c r="E11">
        <v>1</v>
      </c>
      <c r="F11">
        <v>28</v>
      </c>
      <c r="G11">
        <v>87.878787880000004</v>
      </c>
      <c r="H11">
        <f t="shared" si="0"/>
        <v>0.25</v>
      </c>
      <c r="I11">
        <f t="shared" si="1"/>
        <v>0.5</v>
      </c>
      <c r="J11">
        <f t="shared" si="2"/>
        <v>0.33333333333333331</v>
      </c>
      <c r="K11">
        <f t="shared" si="3"/>
        <v>0.90322580645161288</v>
      </c>
      <c r="L11">
        <v>10</v>
      </c>
      <c r="M11">
        <v>40</v>
      </c>
    </row>
    <row r="12" spans="1:13" x14ac:dyDescent="0.25">
      <c r="A12" t="s">
        <v>29</v>
      </c>
      <c r="B12" t="s">
        <v>28</v>
      </c>
      <c r="C12">
        <v>12</v>
      </c>
      <c r="D12">
        <v>0</v>
      </c>
      <c r="E12">
        <v>0</v>
      </c>
      <c r="F12">
        <v>208</v>
      </c>
      <c r="G12">
        <v>100</v>
      </c>
      <c r="H12">
        <f t="shared" si="0"/>
        <v>1</v>
      </c>
      <c r="I12">
        <f t="shared" si="1"/>
        <v>1</v>
      </c>
      <c r="J12">
        <f t="shared" si="2"/>
        <v>1</v>
      </c>
      <c r="K12">
        <f t="shared" si="3"/>
        <v>1</v>
      </c>
      <c r="L12">
        <v>0</v>
      </c>
      <c r="M12">
        <v>40</v>
      </c>
    </row>
    <row r="13" spans="1:13" x14ac:dyDescent="0.25">
      <c r="A13" t="s">
        <v>31</v>
      </c>
      <c r="B13" t="s">
        <v>30</v>
      </c>
      <c r="C13">
        <v>2</v>
      </c>
      <c r="D13">
        <v>3</v>
      </c>
      <c r="E13">
        <v>0</v>
      </c>
      <c r="F13">
        <v>29</v>
      </c>
      <c r="G13">
        <v>91.176470589999994</v>
      </c>
      <c r="H13" t="e" cm="1">
        <f t="array" aca="1" ref="H13" ca="1">(C13)/I23(C13+D13)</f>
        <v>#REF!</v>
      </c>
      <c r="I13">
        <f t="shared" si="1"/>
        <v>1</v>
      </c>
      <c r="J13" t="e">
        <f t="shared" ca="1" si="2"/>
        <v>#REF!</v>
      </c>
      <c r="K13">
        <f t="shared" si="3"/>
        <v>0.90625</v>
      </c>
      <c r="L13">
        <v>0</v>
      </c>
      <c r="M13">
        <v>40</v>
      </c>
    </row>
    <row r="14" spans="1:13" x14ac:dyDescent="0.25">
      <c r="A14" t="s">
        <v>33</v>
      </c>
      <c r="B14" t="s">
        <v>32</v>
      </c>
      <c r="C14">
        <v>0</v>
      </c>
      <c r="D14">
        <v>12</v>
      </c>
      <c r="E14">
        <v>0</v>
      </c>
      <c r="F14">
        <v>114</v>
      </c>
      <c r="G14">
        <v>90.47619048</v>
      </c>
      <c r="H14">
        <f t="shared" ref="H14:H15" si="4">(C14)/(C14+D14)</f>
        <v>0</v>
      </c>
      <c r="I14" t="e">
        <f t="shared" ref="I14:I15" si="5">C14/(C14+E14)</f>
        <v>#DIV/0!</v>
      </c>
      <c r="J14" t="e">
        <f t="shared" ref="J14:J15" si="6">(2*(H14*I14))/(H14+I14)</f>
        <v>#DIV/0!</v>
      </c>
      <c r="K14">
        <f t="shared" ref="K14:K15" si="7">F14/(F14+D14)</f>
        <v>0.90476190476190477</v>
      </c>
      <c r="L14">
        <v>0</v>
      </c>
      <c r="M14">
        <v>40</v>
      </c>
    </row>
    <row r="15" spans="1:13" x14ac:dyDescent="0.25">
      <c r="A15" t="s">
        <v>35</v>
      </c>
      <c r="B15" t="s">
        <v>34</v>
      </c>
      <c r="C15">
        <v>253</v>
      </c>
      <c r="D15">
        <v>249</v>
      </c>
      <c r="E15">
        <v>16</v>
      </c>
      <c r="F15">
        <v>5001</v>
      </c>
      <c r="G15">
        <v>95.198405510000001</v>
      </c>
      <c r="H15">
        <f t="shared" si="4"/>
        <v>0.50398406374501992</v>
      </c>
      <c r="I15">
        <f t="shared" si="5"/>
        <v>0.94052044609665431</v>
      </c>
      <c r="J15">
        <f t="shared" si="6"/>
        <v>0.6562905317769131</v>
      </c>
      <c r="K15">
        <f t="shared" si="7"/>
        <v>0.95257142857142862</v>
      </c>
      <c r="L15">
        <v>0</v>
      </c>
      <c r="M1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Beekman (RIT Student)</dc:creator>
  <cp:lastModifiedBy>Alex Beekman (RIT Student)</cp:lastModifiedBy>
  <dcterms:created xsi:type="dcterms:W3CDTF">2025-01-29T15:27:11Z</dcterms:created>
  <dcterms:modified xsi:type="dcterms:W3CDTF">2025-01-29T15:56:24Z</dcterms:modified>
</cp:coreProperties>
</file>