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b\OneDrive\Documents\Thesis\MRUCache\"/>
    </mc:Choice>
  </mc:AlternateContent>
  <xr:revisionPtr revIDLastSave="0" documentId="13_ncr:1_{FF19CB48-2A6C-4966-A8AB-6E61A3189DA8}" xr6:coauthVersionLast="47" xr6:coauthVersionMax="47" xr10:uidLastSave="{00000000-0000-0000-0000-000000000000}"/>
  <bookViews>
    <workbookView xWindow="-110" yWindow="-110" windowWidth="38620" windowHeight="21100" xr2:uid="{10219E88-FFE1-4721-B87F-58FBE8BDB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I13" i="1"/>
  <c r="H13" i="1"/>
  <c r="K12" i="1"/>
  <c r="I12" i="1"/>
  <c r="H12" i="1"/>
  <c r="K11" i="1"/>
  <c r="I11" i="1"/>
  <c r="H11" i="1"/>
  <c r="J11" i="1" s="1"/>
  <c r="K10" i="1"/>
  <c r="I10" i="1"/>
  <c r="H10" i="1"/>
  <c r="J10" i="1" s="1"/>
  <c r="K9" i="1"/>
  <c r="I9" i="1"/>
  <c r="H9" i="1"/>
  <c r="J9" i="1" s="1"/>
  <c r="K8" i="1"/>
  <c r="I8" i="1"/>
  <c r="H8" i="1"/>
  <c r="J8" i="1" s="1"/>
  <c r="K7" i="1"/>
  <c r="I7" i="1"/>
  <c r="H7" i="1"/>
  <c r="J7" i="1" s="1"/>
  <c r="K6" i="1"/>
  <c r="I6" i="1"/>
  <c r="H6" i="1"/>
  <c r="J6" i="1" s="1"/>
  <c r="K5" i="1"/>
  <c r="I5" i="1"/>
  <c r="H5" i="1"/>
  <c r="J5" i="1" s="1"/>
  <c r="K4" i="1"/>
  <c r="I4" i="1"/>
  <c r="H4" i="1"/>
  <c r="J4" i="1" s="1"/>
  <c r="K3" i="1"/>
  <c r="I3" i="1"/>
  <c r="H3" i="1"/>
  <c r="J3" i="1" s="1"/>
  <c r="H14" i="1"/>
  <c r="I14" i="1"/>
  <c r="K14" i="1"/>
  <c r="H15" i="1"/>
  <c r="I15" i="1"/>
  <c r="J15" i="1" s="1"/>
  <c r="K15" i="1"/>
  <c r="J12" i="1" l="1"/>
  <c r="J13" i="1"/>
  <c r="J14" i="1"/>
</calcChain>
</file>

<file path=xl/sharedStrings.xml><?xml version="1.0" encoding="utf-8"?>
<sst xmlns="http://schemas.openxmlformats.org/spreadsheetml/2006/main" count="52" uniqueCount="39">
  <si>
    <t>MRURP</t>
  </si>
  <si>
    <t>Program</t>
  </si>
  <si>
    <t>Nu: 0.7, Gamma: 0.5</t>
  </si>
  <si>
    <t>Blackscholes</t>
  </si>
  <si>
    <t>TP</t>
  </si>
  <si>
    <t>FP</t>
  </si>
  <si>
    <t>FN</t>
  </si>
  <si>
    <t>TN</t>
  </si>
  <si>
    <t>ACC (%)</t>
  </si>
  <si>
    <t>Noise Percantages</t>
  </si>
  <si>
    <t>Upsampling</t>
  </si>
  <si>
    <t>Nu: 0.0001, Gamma: 0.5</t>
  </si>
  <si>
    <t>Bodytrack</t>
  </si>
  <si>
    <t>Nu: 0.99, Gamma: 0.9</t>
  </si>
  <si>
    <t>Canneal</t>
  </si>
  <si>
    <t>Nu and Gamma</t>
  </si>
  <si>
    <t>Nu: 0.0002, Gamma: 0.7</t>
  </si>
  <si>
    <t>Dedup</t>
  </si>
  <si>
    <t>Nu: 0.2, Gamma: 0.5</t>
  </si>
  <si>
    <t>Facesim</t>
  </si>
  <si>
    <t>Nu: 0.0001, Gamma: 0.9</t>
  </si>
  <si>
    <t>Ferret</t>
  </si>
  <si>
    <t>Nu: 0.99, Gamma: 0.7</t>
  </si>
  <si>
    <t>Fluidanimate</t>
  </si>
  <si>
    <t>Nu: 0.0001, Gamma: 0.0001</t>
  </si>
  <si>
    <t>Freqmine</t>
  </si>
  <si>
    <t>Raytrace</t>
  </si>
  <si>
    <t>Nu: 0.2, Gamma: 0.7</t>
  </si>
  <si>
    <t>Streamcluster</t>
  </si>
  <si>
    <t>Swaptions</t>
  </si>
  <si>
    <t>Vips</t>
  </si>
  <si>
    <t>Nu: 0.5, Gamma: 0.9</t>
  </si>
  <si>
    <t>X264</t>
  </si>
  <si>
    <t>Precision</t>
  </si>
  <si>
    <t>Recall</t>
  </si>
  <si>
    <t>F1-Score</t>
  </si>
  <si>
    <t>Specificity</t>
  </si>
  <si>
    <t>Nu: 0.99, Gamma: 0.0625</t>
  </si>
  <si>
    <t>Nu: 0.5, Gamma: 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</si>
</sst>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D5F6-01AE-4A3B-A6DC-B2A5E21A756E}">
  <dimension ref="A1:M33"/>
  <sheetViews>
    <sheetView tabSelected="1" zoomScale="130" zoomScaleNormal="130" workbookViewId="0">
      <selection activeCell="A22" sqref="A22:F33"/>
    </sheetView>
  </sheetViews>
  <sheetFormatPr defaultRowHeight="14.5" x14ac:dyDescent="0.35"/>
  <cols>
    <col min="1" max="1" width="19.81640625" customWidth="1"/>
    <col min="2" max="2" width="21.26953125" customWidth="1"/>
  </cols>
  <sheetData>
    <row r="1" spans="1:13" x14ac:dyDescent="0.35">
      <c r="A1" t="s">
        <v>0</v>
      </c>
    </row>
    <row r="2" spans="1:13" x14ac:dyDescent="0.35">
      <c r="A2" t="s">
        <v>1</v>
      </c>
      <c r="B2" t="s">
        <v>15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33</v>
      </c>
      <c r="I2" t="s">
        <v>34</v>
      </c>
      <c r="J2" t="s">
        <v>35</v>
      </c>
      <c r="K2" t="s">
        <v>36</v>
      </c>
      <c r="L2" t="s">
        <v>9</v>
      </c>
      <c r="M2" t="s">
        <v>10</v>
      </c>
    </row>
    <row r="3" spans="1:13" x14ac:dyDescent="0.35">
      <c r="A3" t="s">
        <v>3</v>
      </c>
      <c r="B3" t="s">
        <v>2</v>
      </c>
      <c r="C3">
        <v>2</v>
      </c>
      <c r="D3">
        <v>0</v>
      </c>
      <c r="E3">
        <v>0</v>
      </c>
      <c r="F3">
        <v>18</v>
      </c>
      <c r="G3">
        <v>100</v>
      </c>
      <c r="H3">
        <f>(C3)/(C3+D3)</f>
        <v>1</v>
      </c>
      <c r="I3">
        <f>C3/(C3+E3)</f>
        <v>1</v>
      </c>
      <c r="J3">
        <f>(2*(H3*I3))/(H3+I3)</f>
        <v>1</v>
      </c>
      <c r="K3">
        <f>F3/(F3+D3)</f>
        <v>1</v>
      </c>
      <c r="L3">
        <v>0</v>
      </c>
      <c r="M3">
        <v>40</v>
      </c>
    </row>
    <row r="4" spans="1:13" x14ac:dyDescent="0.35">
      <c r="A4" t="s">
        <v>12</v>
      </c>
      <c r="B4" t="s">
        <v>11</v>
      </c>
      <c r="C4">
        <v>2</v>
      </c>
      <c r="D4">
        <v>0</v>
      </c>
      <c r="E4">
        <v>2</v>
      </c>
      <c r="F4">
        <v>41</v>
      </c>
      <c r="G4">
        <v>95.5555555555555</v>
      </c>
      <c r="H4">
        <f t="shared" ref="H4:H13" si="0">(C4)/(C4+D4)</f>
        <v>1</v>
      </c>
      <c r="I4">
        <f t="shared" ref="I4:I13" si="1">C4/(C4+E4)</f>
        <v>0.5</v>
      </c>
      <c r="J4">
        <f t="shared" ref="J4:J13" si="2">(2*(H4*I4))/(H4+I4)</f>
        <v>0.66666666666666663</v>
      </c>
      <c r="K4">
        <f t="shared" ref="K4:K13" si="3">F4/(F4+D4)</f>
        <v>1</v>
      </c>
      <c r="L4">
        <v>0</v>
      </c>
      <c r="M4">
        <v>40</v>
      </c>
    </row>
    <row r="5" spans="1:13" x14ac:dyDescent="0.35">
      <c r="A5" t="s">
        <v>14</v>
      </c>
      <c r="B5" t="s">
        <v>13</v>
      </c>
      <c r="C5">
        <v>3</v>
      </c>
      <c r="D5">
        <v>2</v>
      </c>
      <c r="E5">
        <v>3</v>
      </c>
      <c r="F5">
        <v>36</v>
      </c>
      <c r="G5">
        <v>88.636363636363598</v>
      </c>
      <c r="H5">
        <f t="shared" si="0"/>
        <v>0.6</v>
      </c>
      <c r="I5">
        <f t="shared" si="1"/>
        <v>0.5</v>
      </c>
      <c r="J5">
        <f t="shared" si="2"/>
        <v>0.54545454545454541</v>
      </c>
      <c r="K5">
        <f t="shared" si="3"/>
        <v>0.94736842105263153</v>
      </c>
      <c r="L5">
        <v>10</v>
      </c>
      <c r="M5">
        <v>40</v>
      </c>
    </row>
    <row r="6" spans="1:13" x14ac:dyDescent="0.35">
      <c r="A6" t="s">
        <v>17</v>
      </c>
      <c r="B6" t="s">
        <v>16</v>
      </c>
      <c r="C6">
        <v>6</v>
      </c>
      <c r="D6">
        <v>1</v>
      </c>
      <c r="E6">
        <v>4</v>
      </c>
      <c r="F6">
        <v>267</v>
      </c>
      <c r="G6">
        <v>98.201438850000002</v>
      </c>
      <c r="H6">
        <f t="shared" si="0"/>
        <v>0.8571428571428571</v>
      </c>
      <c r="I6">
        <f t="shared" si="1"/>
        <v>0.6</v>
      </c>
      <c r="J6">
        <f t="shared" si="2"/>
        <v>0.70588235294117641</v>
      </c>
      <c r="K6">
        <f t="shared" si="3"/>
        <v>0.99626865671641796</v>
      </c>
      <c r="L6">
        <v>0</v>
      </c>
      <c r="M6">
        <v>40</v>
      </c>
    </row>
    <row r="7" spans="1:13" x14ac:dyDescent="0.35">
      <c r="A7" t="s">
        <v>19</v>
      </c>
      <c r="B7" t="s">
        <v>18</v>
      </c>
      <c r="C7">
        <v>20</v>
      </c>
      <c r="D7">
        <v>1</v>
      </c>
      <c r="E7">
        <v>4</v>
      </c>
      <c r="F7">
        <v>1331</v>
      </c>
      <c r="G7">
        <v>99.631268436578097</v>
      </c>
      <c r="H7">
        <f t="shared" si="0"/>
        <v>0.95238095238095233</v>
      </c>
      <c r="I7">
        <f t="shared" si="1"/>
        <v>0.83333333333333337</v>
      </c>
      <c r="J7">
        <f t="shared" si="2"/>
        <v>0.88888888888888895</v>
      </c>
      <c r="K7">
        <f t="shared" si="3"/>
        <v>0.99924924924924929</v>
      </c>
      <c r="L7">
        <v>0</v>
      </c>
      <c r="M7">
        <v>40</v>
      </c>
    </row>
    <row r="8" spans="1:13" x14ac:dyDescent="0.35">
      <c r="A8" t="s">
        <v>21</v>
      </c>
      <c r="B8" t="s">
        <v>20</v>
      </c>
      <c r="C8">
        <v>2</v>
      </c>
      <c r="D8">
        <v>0</v>
      </c>
      <c r="E8">
        <v>2</v>
      </c>
      <c r="F8">
        <v>137</v>
      </c>
      <c r="G8">
        <v>98.581560283687907</v>
      </c>
      <c r="H8">
        <f t="shared" si="0"/>
        <v>1</v>
      </c>
      <c r="I8">
        <f t="shared" si="1"/>
        <v>0.5</v>
      </c>
      <c r="J8">
        <f t="shared" si="2"/>
        <v>0.66666666666666663</v>
      </c>
      <c r="K8">
        <f t="shared" si="3"/>
        <v>1</v>
      </c>
      <c r="L8">
        <v>0</v>
      </c>
      <c r="M8">
        <v>40</v>
      </c>
    </row>
    <row r="9" spans="1:13" x14ac:dyDescent="0.35">
      <c r="A9" t="s">
        <v>23</v>
      </c>
      <c r="B9" t="s">
        <v>22</v>
      </c>
      <c r="C9">
        <v>1</v>
      </c>
      <c r="D9">
        <v>0</v>
      </c>
      <c r="E9">
        <v>3</v>
      </c>
      <c r="F9">
        <v>36</v>
      </c>
      <c r="G9">
        <v>92.5</v>
      </c>
      <c r="H9">
        <f t="shared" si="0"/>
        <v>1</v>
      </c>
      <c r="I9">
        <f t="shared" si="1"/>
        <v>0.25</v>
      </c>
      <c r="J9">
        <f>(2*(H9*I9))/(H9+I9)</f>
        <v>0.4</v>
      </c>
      <c r="K9">
        <f t="shared" si="3"/>
        <v>1</v>
      </c>
      <c r="L9">
        <v>0</v>
      </c>
      <c r="M9">
        <v>40</v>
      </c>
    </row>
    <row r="10" spans="1:13" x14ac:dyDescent="0.35">
      <c r="A10" t="s">
        <v>25</v>
      </c>
      <c r="B10" t="s">
        <v>24</v>
      </c>
      <c r="C10">
        <v>0</v>
      </c>
      <c r="D10">
        <v>0</v>
      </c>
      <c r="E10">
        <v>16</v>
      </c>
      <c r="F10">
        <v>198</v>
      </c>
      <c r="G10">
        <v>92.523364485981304</v>
      </c>
      <c r="H10" t="e">
        <f t="shared" si="0"/>
        <v>#DIV/0!</v>
      </c>
      <c r="I10">
        <f t="shared" si="1"/>
        <v>0</v>
      </c>
      <c r="J10" t="e">
        <f t="shared" si="2"/>
        <v>#DIV/0!</v>
      </c>
      <c r="K10">
        <f t="shared" si="3"/>
        <v>1</v>
      </c>
      <c r="L10">
        <v>0</v>
      </c>
      <c r="M10">
        <v>40</v>
      </c>
    </row>
    <row r="11" spans="1:13" x14ac:dyDescent="0.35">
      <c r="A11" t="s">
        <v>26</v>
      </c>
      <c r="B11" t="s">
        <v>37</v>
      </c>
      <c r="C11">
        <v>2</v>
      </c>
      <c r="D11">
        <v>2</v>
      </c>
      <c r="E11">
        <v>2</v>
      </c>
      <c r="F11">
        <v>27</v>
      </c>
      <c r="G11">
        <v>87.878787878787804</v>
      </c>
      <c r="H11">
        <f t="shared" si="0"/>
        <v>0.5</v>
      </c>
      <c r="I11">
        <f t="shared" si="1"/>
        <v>0.5</v>
      </c>
      <c r="J11">
        <f t="shared" si="2"/>
        <v>0.5</v>
      </c>
      <c r="K11">
        <f t="shared" si="3"/>
        <v>0.93103448275862066</v>
      </c>
      <c r="L11">
        <v>10</v>
      </c>
      <c r="M11">
        <v>40</v>
      </c>
    </row>
    <row r="12" spans="1:13" x14ac:dyDescent="0.35">
      <c r="A12" t="s">
        <v>28</v>
      </c>
      <c r="B12" t="s">
        <v>27</v>
      </c>
      <c r="C12">
        <v>12</v>
      </c>
      <c r="D12">
        <v>0</v>
      </c>
      <c r="E12">
        <v>0</v>
      </c>
      <c r="F12">
        <v>208</v>
      </c>
      <c r="G12">
        <v>100</v>
      </c>
      <c r="H12">
        <f t="shared" si="0"/>
        <v>1</v>
      </c>
      <c r="I12">
        <f t="shared" si="1"/>
        <v>1</v>
      </c>
      <c r="J12">
        <f>(2*(H12*I12))/(H12+I12)</f>
        <v>1</v>
      </c>
      <c r="K12">
        <f t="shared" si="3"/>
        <v>1</v>
      </c>
      <c r="L12">
        <v>0</v>
      </c>
      <c r="M12">
        <v>40</v>
      </c>
    </row>
    <row r="13" spans="1:13" x14ac:dyDescent="0.35">
      <c r="A13" t="s">
        <v>29</v>
      </c>
      <c r="B13" t="s">
        <v>38</v>
      </c>
      <c r="C13">
        <v>3</v>
      </c>
      <c r="D13">
        <v>0</v>
      </c>
      <c r="E13">
        <v>2</v>
      </c>
      <c r="F13">
        <v>29</v>
      </c>
      <c r="G13">
        <v>94.117647059999996</v>
      </c>
      <c r="H13">
        <f t="shared" si="0"/>
        <v>1</v>
      </c>
      <c r="I13">
        <f t="shared" si="1"/>
        <v>0.6</v>
      </c>
      <c r="J13">
        <f t="shared" si="2"/>
        <v>0.74999999999999989</v>
      </c>
      <c r="K13">
        <f t="shared" si="3"/>
        <v>1</v>
      </c>
      <c r="L13">
        <v>0</v>
      </c>
      <c r="M13">
        <v>40</v>
      </c>
    </row>
    <row r="14" spans="1:13" x14ac:dyDescent="0.35">
      <c r="A14" t="s">
        <v>30</v>
      </c>
      <c r="B14" t="s">
        <v>24</v>
      </c>
      <c r="C14">
        <v>0</v>
      </c>
      <c r="D14">
        <v>0</v>
      </c>
      <c r="E14">
        <v>12</v>
      </c>
      <c r="F14">
        <v>114</v>
      </c>
      <c r="G14">
        <v>90.47619048</v>
      </c>
      <c r="H14">
        <f>(C14)/(C14+E14)</f>
        <v>0</v>
      </c>
      <c r="I14" t="e">
        <f>C14/(C14+D14)</f>
        <v>#DIV/0!</v>
      </c>
      <c r="J14" t="e">
        <f t="shared" ref="J14:J15" si="4">(2*(H14*I14))/(H14+I14)</f>
        <v>#DIV/0!</v>
      </c>
      <c r="K14">
        <f>F14/(F14+E14)</f>
        <v>0.90476190476190477</v>
      </c>
      <c r="L14">
        <v>0</v>
      </c>
      <c r="M14">
        <v>40</v>
      </c>
    </row>
    <row r="15" spans="1:13" x14ac:dyDescent="0.35">
      <c r="A15" t="s">
        <v>32</v>
      </c>
      <c r="B15" t="s">
        <v>31</v>
      </c>
      <c r="C15">
        <v>253</v>
      </c>
      <c r="D15">
        <v>16</v>
      </c>
      <c r="E15">
        <v>249</v>
      </c>
      <c r="F15">
        <v>5001</v>
      </c>
      <c r="G15">
        <v>95.198405510000001</v>
      </c>
      <c r="H15">
        <f>(C15)/(C15+E15)</f>
        <v>0.50398406374501992</v>
      </c>
      <c r="I15">
        <f>C15/(C15+D15)</f>
        <v>0.94052044609665431</v>
      </c>
      <c r="J15">
        <f t="shared" si="4"/>
        <v>0.6562905317769131</v>
      </c>
      <c r="K15">
        <f>F15/(F15+E15)</f>
        <v>0.95257142857142862</v>
      </c>
      <c r="L15">
        <v>0</v>
      </c>
      <c r="M15">
        <v>40</v>
      </c>
    </row>
    <row r="22" spans="1:8" x14ac:dyDescent="0.35">
      <c r="A22" t="s">
        <v>12</v>
      </c>
      <c r="B22">
        <v>95.5555555555555</v>
      </c>
      <c r="C22">
        <v>1</v>
      </c>
      <c r="D22">
        <v>0.5</v>
      </c>
      <c r="E22">
        <v>0.66666666666666663</v>
      </c>
      <c r="F22">
        <v>1</v>
      </c>
      <c r="G22">
        <v>0</v>
      </c>
      <c r="H22">
        <v>40</v>
      </c>
    </row>
    <row r="23" spans="1:8" x14ac:dyDescent="0.35">
      <c r="A23" t="s">
        <v>14</v>
      </c>
      <c r="B23">
        <v>88.636363636363598</v>
      </c>
      <c r="C23">
        <v>0.6</v>
      </c>
      <c r="D23">
        <v>0.5</v>
      </c>
      <c r="E23">
        <v>0.54545454545454541</v>
      </c>
      <c r="F23">
        <v>0.94736842105263153</v>
      </c>
      <c r="G23">
        <v>10</v>
      </c>
      <c r="H23">
        <v>40</v>
      </c>
    </row>
    <row r="24" spans="1:8" x14ac:dyDescent="0.35">
      <c r="A24" t="s">
        <v>17</v>
      </c>
      <c r="B24">
        <v>98.201438850000002</v>
      </c>
      <c r="C24">
        <v>0.8571428571428571</v>
      </c>
      <c r="D24">
        <v>0.6</v>
      </c>
      <c r="E24">
        <v>0.70588235294117641</v>
      </c>
      <c r="F24">
        <v>0.99626865671641796</v>
      </c>
      <c r="G24">
        <v>0</v>
      </c>
      <c r="H24">
        <v>40</v>
      </c>
    </row>
    <row r="25" spans="1:8" x14ac:dyDescent="0.35">
      <c r="A25" t="s">
        <v>19</v>
      </c>
      <c r="B25">
        <v>99.631268436578097</v>
      </c>
      <c r="C25">
        <v>0.95238095238095233</v>
      </c>
      <c r="D25">
        <v>0.83333333333333337</v>
      </c>
      <c r="E25">
        <v>0.88888888888888895</v>
      </c>
      <c r="F25">
        <v>0.99924924924924929</v>
      </c>
      <c r="G25">
        <v>0</v>
      </c>
      <c r="H25">
        <v>40</v>
      </c>
    </row>
    <row r="26" spans="1:8" x14ac:dyDescent="0.35">
      <c r="A26" t="s">
        <v>21</v>
      </c>
      <c r="B26">
        <v>98.581560283687907</v>
      </c>
      <c r="C26">
        <v>1</v>
      </c>
      <c r="D26">
        <v>0.5</v>
      </c>
      <c r="E26">
        <v>0.66666666666666663</v>
      </c>
      <c r="F26">
        <v>1</v>
      </c>
      <c r="G26">
        <v>0</v>
      </c>
      <c r="H26">
        <v>40</v>
      </c>
    </row>
    <row r="27" spans="1:8" x14ac:dyDescent="0.35">
      <c r="A27" t="s">
        <v>23</v>
      </c>
      <c r="B27">
        <v>92.5</v>
      </c>
      <c r="C27">
        <v>1</v>
      </c>
      <c r="D27">
        <v>0.25</v>
      </c>
      <c r="E27">
        <v>0.4</v>
      </c>
      <c r="F27">
        <v>1</v>
      </c>
      <c r="G27">
        <v>0</v>
      </c>
      <c r="H27">
        <v>40</v>
      </c>
    </row>
    <row r="28" spans="1:8" x14ac:dyDescent="0.35">
      <c r="A28" t="s">
        <v>25</v>
      </c>
      <c r="B28">
        <v>92.523364485981304</v>
      </c>
      <c r="C28" t="e">
        <v>#DIV/0!</v>
      </c>
      <c r="D28">
        <v>0</v>
      </c>
      <c r="E28" t="e">
        <v>#DIV/0!</v>
      </c>
      <c r="F28">
        <v>1</v>
      </c>
      <c r="G28">
        <v>0</v>
      </c>
      <c r="H28">
        <v>40</v>
      </c>
    </row>
    <row r="29" spans="1:8" x14ac:dyDescent="0.35">
      <c r="A29" t="s">
        <v>26</v>
      </c>
      <c r="B29">
        <v>87.878787878787804</v>
      </c>
      <c r="C29">
        <v>0.5</v>
      </c>
      <c r="D29">
        <v>0.5</v>
      </c>
      <c r="E29">
        <v>0.5</v>
      </c>
      <c r="F29">
        <v>0.93103448275862066</v>
      </c>
      <c r="G29">
        <v>10</v>
      </c>
      <c r="H29">
        <v>40</v>
      </c>
    </row>
    <row r="30" spans="1:8" x14ac:dyDescent="0.35">
      <c r="A30" t="s">
        <v>28</v>
      </c>
      <c r="B30">
        <v>100</v>
      </c>
      <c r="C30">
        <v>1</v>
      </c>
      <c r="D30">
        <v>1</v>
      </c>
      <c r="E30">
        <v>1</v>
      </c>
      <c r="F30">
        <v>1</v>
      </c>
      <c r="G30">
        <v>0</v>
      </c>
      <c r="H30">
        <v>40</v>
      </c>
    </row>
    <row r="31" spans="1:8" x14ac:dyDescent="0.35">
      <c r="A31" t="s">
        <v>29</v>
      </c>
      <c r="B31">
        <v>94.117647059999996</v>
      </c>
      <c r="C31">
        <v>1</v>
      </c>
      <c r="D31">
        <v>0.6</v>
      </c>
      <c r="E31">
        <v>0.74999999999999989</v>
      </c>
      <c r="F31">
        <v>1</v>
      </c>
      <c r="G31">
        <v>0</v>
      </c>
      <c r="H31">
        <v>40</v>
      </c>
    </row>
    <row r="32" spans="1:8" x14ac:dyDescent="0.35">
      <c r="A32" t="s">
        <v>30</v>
      </c>
      <c r="B32">
        <v>90.47619048</v>
      </c>
      <c r="C32">
        <v>0</v>
      </c>
      <c r="D32" t="e">
        <v>#DIV/0!</v>
      </c>
      <c r="E32" t="e">
        <v>#DIV/0!</v>
      </c>
      <c r="F32">
        <v>0.90476190476190477</v>
      </c>
      <c r="G32">
        <v>0</v>
      </c>
      <c r="H32">
        <v>40</v>
      </c>
    </row>
    <row r="33" spans="1:8" x14ac:dyDescent="0.35">
      <c r="A33" t="s">
        <v>32</v>
      </c>
      <c r="B33">
        <v>95.198405510000001</v>
      </c>
      <c r="C33">
        <v>0.50398406374501992</v>
      </c>
      <c r="D33">
        <v>0.94052044609665431</v>
      </c>
      <c r="E33">
        <v>0.6562905317769131</v>
      </c>
      <c r="F33">
        <v>0.95257142857142862</v>
      </c>
      <c r="G33">
        <v>0</v>
      </c>
      <c r="H3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Beekman (RIT Student)</dc:creator>
  <cp:lastModifiedBy>Alex Beekman (RIT Student)</cp:lastModifiedBy>
  <dcterms:created xsi:type="dcterms:W3CDTF">2025-01-29T15:27:11Z</dcterms:created>
  <dcterms:modified xsi:type="dcterms:W3CDTF">2025-03-04T08:30:25Z</dcterms:modified>
</cp:coreProperties>
</file>