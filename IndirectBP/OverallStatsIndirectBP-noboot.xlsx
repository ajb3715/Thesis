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IndirectBP\"/>
    </mc:Choice>
  </mc:AlternateContent>
  <xr:revisionPtr revIDLastSave="0" documentId="13_ncr:1_{11093AE0-730F-47A3-BC9C-02421A6019D3}" xr6:coauthVersionLast="47" xr6:coauthVersionMax="47" xr10:uidLastSave="{00000000-0000-0000-0000-000000000000}"/>
  <bookViews>
    <workbookView xWindow="-108" yWindow="-108" windowWidth="23256" windowHeight="14616" xr2:uid="{84A3B88E-B226-40B3-A64E-0FDCC502A4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N4" i="1"/>
  <c r="N5" i="1"/>
  <c r="N6" i="1"/>
  <c r="N7" i="1"/>
  <c r="N8" i="1"/>
  <c r="N9" i="1"/>
  <c r="N10" i="1"/>
  <c r="N11" i="1"/>
  <c r="N12" i="1"/>
  <c r="N13" i="1"/>
  <c r="N14" i="1"/>
  <c r="N3" i="1"/>
  <c r="J14" i="1"/>
  <c r="K14" i="1"/>
  <c r="K13" i="1"/>
  <c r="I13" i="1"/>
  <c r="H13" i="1"/>
  <c r="J13" i="1" s="1"/>
  <c r="K12" i="1"/>
  <c r="I12" i="1"/>
  <c r="H12" i="1"/>
  <c r="J12" i="1" s="1"/>
  <c r="K11" i="1"/>
  <c r="I11" i="1"/>
  <c r="H11" i="1"/>
  <c r="J11" i="1" s="1"/>
  <c r="K10" i="1"/>
  <c r="I10" i="1"/>
  <c r="H10" i="1"/>
  <c r="J10" i="1" s="1"/>
  <c r="K9" i="1"/>
  <c r="I9" i="1"/>
  <c r="H9" i="1"/>
  <c r="J9" i="1" s="1"/>
  <c r="K8" i="1"/>
  <c r="I8" i="1"/>
  <c r="H8" i="1"/>
  <c r="J8" i="1" s="1"/>
  <c r="K7" i="1"/>
  <c r="I7" i="1"/>
  <c r="H7" i="1"/>
  <c r="K6" i="1"/>
  <c r="I6" i="1"/>
  <c r="H6" i="1"/>
  <c r="J6" i="1" s="1"/>
  <c r="K5" i="1"/>
  <c r="I5" i="1"/>
  <c r="H5" i="1"/>
  <c r="J5" i="1" s="1"/>
  <c r="K4" i="1"/>
  <c r="I4" i="1"/>
  <c r="H4" i="1"/>
  <c r="J4" i="1" s="1"/>
  <c r="K3" i="1"/>
  <c r="I3" i="1"/>
  <c r="H3" i="1"/>
  <c r="J7" i="1" l="1"/>
  <c r="J3" i="1"/>
</calcChain>
</file>

<file path=xl/sharedStrings.xml><?xml version="1.0" encoding="utf-8"?>
<sst xmlns="http://schemas.openxmlformats.org/spreadsheetml/2006/main" count="50" uniqueCount="38">
  <si>
    <t>HalfCache</t>
  </si>
  <si>
    <t>Program</t>
  </si>
  <si>
    <t>Nu: 0.0002, Gamma: 0.9</t>
  </si>
  <si>
    <t>Blackscholes</t>
  </si>
  <si>
    <t>Bodytrack</t>
  </si>
  <si>
    <t>Canneal</t>
  </si>
  <si>
    <t>Facesim</t>
  </si>
  <si>
    <t>Ferret</t>
  </si>
  <si>
    <t>Freqmine</t>
  </si>
  <si>
    <t>Raytrace</t>
  </si>
  <si>
    <t>Streamcluster</t>
  </si>
  <si>
    <t>Swaptions</t>
  </si>
  <si>
    <t>Vips</t>
  </si>
  <si>
    <t>X264</t>
  </si>
  <si>
    <t>TP</t>
  </si>
  <si>
    <t>FP</t>
  </si>
  <si>
    <t>FN</t>
  </si>
  <si>
    <t>TN</t>
  </si>
  <si>
    <t>ACC (%)</t>
  </si>
  <si>
    <t>Noise Percantages</t>
  </si>
  <si>
    <t>Upsampling</t>
  </si>
  <si>
    <t>Precision</t>
  </si>
  <si>
    <t>Recall</t>
  </si>
  <si>
    <t>F1-Score</t>
  </si>
  <si>
    <t>Specificity</t>
  </si>
  <si>
    <t>NU and Gamma</t>
  </si>
  <si>
    <t>Dedup</t>
  </si>
  <si>
    <t>Nu: 0.9, Gamma: 0.0625</t>
  </si>
  <si>
    <t>Nu: 0.99, Gamma: 0.0625</t>
  </si>
  <si>
    <t>Nu: 0.7, Gamma: 0.0001</t>
  </si>
  <si>
    <t>Nu: 0.1, Gamma: 0.7</t>
  </si>
  <si>
    <t>Nu: 0.0002, Gamma: 0.99</t>
  </si>
  <si>
    <t>Nu: 0.7, Gamma: 0.99</t>
  </si>
  <si>
    <t>Nu: 0.99, Gamma: 0.2</t>
  </si>
  <si>
    <t>Nu: 0.2, Gamma: 0.9</t>
  </si>
  <si>
    <t>Nu: 0.5, Gamma: 0.5</t>
  </si>
  <si>
    <t>Nu: 0.9, Gamma: 0.5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</si>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</sst>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EE7E4-9A64-4328-97BF-22E9AA604A6A}">
  <dimension ref="A1:N30"/>
  <sheetViews>
    <sheetView tabSelected="1" zoomScaleNormal="100" workbookViewId="0">
      <selection activeCell="O8" sqref="O8"/>
    </sheetView>
  </sheetViews>
  <sheetFormatPr defaultRowHeight="14.4" x14ac:dyDescent="0.3"/>
  <cols>
    <col min="1" max="1" width="34.33203125" customWidth="1"/>
    <col min="2" max="2" width="29" customWidth="1"/>
    <col min="7" max="7" width="22.21875" customWidth="1"/>
    <col min="11" max="11" width="14.77734375" customWidth="1"/>
  </cols>
  <sheetData>
    <row r="1" spans="1:14" x14ac:dyDescent="0.3">
      <c r="A1" t="s">
        <v>0</v>
      </c>
    </row>
    <row r="2" spans="1:14" x14ac:dyDescent="0.3">
      <c r="A2" t="s">
        <v>1</v>
      </c>
      <c r="B2" t="s">
        <v>25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21</v>
      </c>
      <c r="I2" t="s">
        <v>22</v>
      </c>
      <c r="J2" t="s">
        <v>23</v>
      </c>
      <c r="K2" t="s">
        <v>24</v>
      </c>
      <c r="L2" t="s">
        <v>19</v>
      </c>
      <c r="M2" t="s">
        <v>20</v>
      </c>
      <c r="N2" t="s">
        <v>37</v>
      </c>
    </row>
    <row r="3" spans="1:14" x14ac:dyDescent="0.3">
      <c r="A3" t="s">
        <v>3</v>
      </c>
      <c r="B3" t="s">
        <v>27</v>
      </c>
      <c r="C3">
        <v>2</v>
      </c>
      <c r="D3">
        <v>0</v>
      </c>
      <c r="E3">
        <v>0</v>
      </c>
      <c r="F3">
        <v>13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  <c r="N3">
        <f>(I3+K3)/2</f>
        <v>1</v>
      </c>
    </row>
    <row r="4" spans="1:14" x14ac:dyDescent="0.3">
      <c r="A4" t="s">
        <v>4</v>
      </c>
      <c r="B4" t="s">
        <v>2</v>
      </c>
      <c r="C4">
        <v>3</v>
      </c>
      <c r="D4">
        <v>0</v>
      </c>
      <c r="E4">
        <v>1</v>
      </c>
      <c r="F4">
        <v>38</v>
      </c>
      <c r="G4">
        <v>97.619047620000003</v>
      </c>
      <c r="H4">
        <f t="shared" ref="H4:H13" si="0">(C4)/(C4+D4)</f>
        <v>1</v>
      </c>
      <c r="I4">
        <f t="shared" ref="I4:I13" si="1">C4/(C4+E4)</f>
        <v>0.75</v>
      </c>
      <c r="J4">
        <f t="shared" ref="J4:J13" si="2">(2*(H4*I4))/(H4+I4)</f>
        <v>0.8571428571428571</v>
      </c>
      <c r="K4">
        <f t="shared" ref="K4:K13" si="3">F4/(F4+D4)</f>
        <v>1</v>
      </c>
      <c r="L4">
        <v>0</v>
      </c>
      <c r="M4">
        <v>40</v>
      </c>
      <c r="N4">
        <f t="shared" ref="N4:N14" si="4">(I4+K4)/2</f>
        <v>0.875</v>
      </c>
    </row>
    <row r="5" spans="1:14" x14ac:dyDescent="0.3">
      <c r="A5" t="s">
        <v>5</v>
      </c>
      <c r="B5" t="s">
        <v>28</v>
      </c>
      <c r="C5">
        <v>1</v>
      </c>
      <c r="D5">
        <v>0</v>
      </c>
      <c r="E5">
        <v>4</v>
      </c>
      <c r="F5">
        <v>48</v>
      </c>
      <c r="G5">
        <v>92.452830188679201</v>
      </c>
      <c r="H5">
        <f t="shared" si="0"/>
        <v>1</v>
      </c>
      <c r="I5">
        <f t="shared" si="1"/>
        <v>0.2</v>
      </c>
      <c r="J5">
        <f t="shared" si="2"/>
        <v>0.33333333333333337</v>
      </c>
      <c r="K5">
        <f t="shared" si="3"/>
        <v>1</v>
      </c>
      <c r="L5">
        <v>0</v>
      </c>
      <c r="M5">
        <v>40</v>
      </c>
      <c r="N5">
        <f t="shared" si="4"/>
        <v>0.6</v>
      </c>
    </row>
    <row r="6" spans="1:14" x14ac:dyDescent="0.3">
      <c r="A6" t="s">
        <v>26</v>
      </c>
      <c r="B6" t="s">
        <v>29</v>
      </c>
      <c r="C6">
        <v>4</v>
      </c>
      <c r="D6">
        <v>18</v>
      </c>
      <c r="E6">
        <v>6</v>
      </c>
      <c r="F6">
        <v>2727</v>
      </c>
      <c r="G6">
        <v>99.128856619999993</v>
      </c>
      <c r="H6">
        <f t="shared" si="0"/>
        <v>0.18181818181818182</v>
      </c>
      <c r="I6">
        <f t="shared" si="1"/>
        <v>0.4</v>
      </c>
      <c r="J6">
        <f t="shared" si="2"/>
        <v>0.25000000000000006</v>
      </c>
      <c r="K6">
        <f t="shared" si="3"/>
        <v>0.99344262295081964</v>
      </c>
      <c r="L6">
        <v>10</v>
      </c>
      <c r="M6">
        <v>40</v>
      </c>
      <c r="N6">
        <f t="shared" si="4"/>
        <v>0.69672131147540983</v>
      </c>
    </row>
    <row r="7" spans="1:14" x14ac:dyDescent="0.3">
      <c r="A7" t="s">
        <v>6</v>
      </c>
      <c r="B7" t="s">
        <v>30</v>
      </c>
      <c r="C7">
        <v>22</v>
      </c>
      <c r="D7">
        <v>0</v>
      </c>
      <c r="E7">
        <v>1</v>
      </c>
      <c r="F7">
        <v>986</v>
      </c>
      <c r="G7">
        <v>99.900891972249696</v>
      </c>
      <c r="H7">
        <f t="shared" si="0"/>
        <v>1</v>
      </c>
      <c r="I7">
        <f t="shared" si="1"/>
        <v>0.95652173913043481</v>
      </c>
      <c r="J7">
        <f t="shared" si="2"/>
        <v>0.97777777777777775</v>
      </c>
      <c r="K7">
        <f t="shared" si="3"/>
        <v>1</v>
      </c>
      <c r="L7">
        <v>0</v>
      </c>
      <c r="M7">
        <v>40</v>
      </c>
      <c r="N7">
        <f t="shared" si="4"/>
        <v>0.97826086956521741</v>
      </c>
    </row>
    <row r="8" spans="1:14" x14ac:dyDescent="0.3">
      <c r="A8" t="s">
        <v>7</v>
      </c>
      <c r="B8" t="s">
        <v>31</v>
      </c>
      <c r="C8">
        <v>1</v>
      </c>
      <c r="D8">
        <v>0</v>
      </c>
      <c r="E8">
        <v>3</v>
      </c>
      <c r="F8">
        <v>118</v>
      </c>
      <c r="G8">
        <v>97.540983606557305</v>
      </c>
      <c r="H8">
        <f t="shared" si="0"/>
        <v>1</v>
      </c>
      <c r="I8">
        <f t="shared" si="1"/>
        <v>0.25</v>
      </c>
      <c r="J8">
        <f t="shared" si="2"/>
        <v>0.4</v>
      </c>
      <c r="K8">
        <f t="shared" si="3"/>
        <v>1</v>
      </c>
      <c r="L8">
        <v>0</v>
      </c>
      <c r="M8">
        <v>40</v>
      </c>
      <c r="N8">
        <f t="shared" si="4"/>
        <v>0.625</v>
      </c>
    </row>
    <row r="9" spans="1:14" x14ac:dyDescent="0.3">
      <c r="A9" t="s">
        <v>8</v>
      </c>
      <c r="B9" t="s">
        <v>32</v>
      </c>
      <c r="C9">
        <v>8</v>
      </c>
      <c r="D9">
        <v>4</v>
      </c>
      <c r="E9">
        <v>8</v>
      </c>
      <c r="F9">
        <v>182</v>
      </c>
      <c r="G9">
        <v>94.059405940594004</v>
      </c>
      <c r="H9">
        <f t="shared" si="0"/>
        <v>0.66666666666666663</v>
      </c>
      <c r="I9">
        <f t="shared" si="1"/>
        <v>0.5</v>
      </c>
      <c r="J9">
        <f>(2*(H9*I9))/(H9+I9)</f>
        <v>0.57142857142857151</v>
      </c>
      <c r="K9">
        <f t="shared" si="3"/>
        <v>0.978494623655914</v>
      </c>
      <c r="L9">
        <v>10</v>
      </c>
      <c r="M9">
        <v>40</v>
      </c>
      <c r="N9">
        <f t="shared" si="4"/>
        <v>0.739247311827957</v>
      </c>
    </row>
    <row r="10" spans="1:14" x14ac:dyDescent="0.3">
      <c r="A10" t="s">
        <v>9</v>
      </c>
      <c r="B10" t="s">
        <v>33</v>
      </c>
      <c r="C10">
        <v>1</v>
      </c>
      <c r="D10">
        <v>0</v>
      </c>
      <c r="E10">
        <v>2</v>
      </c>
      <c r="F10">
        <v>32</v>
      </c>
      <c r="G10">
        <v>94.285714285714207</v>
      </c>
      <c r="H10">
        <f t="shared" si="0"/>
        <v>1</v>
      </c>
      <c r="I10">
        <f t="shared" si="1"/>
        <v>0.33333333333333331</v>
      </c>
      <c r="J10">
        <f t="shared" si="2"/>
        <v>0.5</v>
      </c>
      <c r="K10">
        <f t="shared" si="3"/>
        <v>1</v>
      </c>
      <c r="L10">
        <v>10</v>
      </c>
      <c r="M10">
        <v>40</v>
      </c>
      <c r="N10">
        <f t="shared" si="4"/>
        <v>0.66666666666666663</v>
      </c>
    </row>
    <row r="11" spans="1:14" x14ac:dyDescent="0.3">
      <c r="A11" t="s">
        <v>10</v>
      </c>
      <c r="B11" t="s">
        <v>34</v>
      </c>
      <c r="C11">
        <v>9</v>
      </c>
      <c r="D11">
        <v>0</v>
      </c>
      <c r="E11">
        <v>3</v>
      </c>
      <c r="F11">
        <v>240</v>
      </c>
      <c r="G11">
        <v>98.809523809523796</v>
      </c>
      <c r="H11">
        <f t="shared" si="0"/>
        <v>1</v>
      </c>
      <c r="I11">
        <f t="shared" si="1"/>
        <v>0.75</v>
      </c>
      <c r="J11">
        <f t="shared" si="2"/>
        <v>0.8571428571428571</v>
      </c>
      <c r="K11">
        <f t="shared" si="3"/>
        <v>1</v>
      </c>
      <c r="L11">
        <v>0</v>
      </c>
      <c r="M11">
        <v>40</v>
      </c>
      <c r="N11">
        <f t="shared" si="4"/>
        <v>0.875</v>
      </c>
    </row>
    <row r="12" spans="1:14" x14ac:dyDescent="0.3">
      <c r="A12" t="s">
        <v>11</v>
      </c>
      <c r="B12" t="s">
        <v>35</v>
      </c>
      <c r="C12">
        <v>3</v>
      </c>
      <c r="D12">
        <v>0</v>
      </c>
      <c r="E12">
        <v>2</v>
      </c>
      <c r="F12">
        <v>30</v>
      </c>
      <c r="G12">
        <v>94.285714285714207</v>
      </c>
      <c r="H12">
        <f t="shared" si="0"/>
        <v>1</v>
      </c>
      <c r="I12">
        <f t="shared" si="1"/>
        <v>0.6</v>
      </c>
      <c r="J12">
        <f>(2*(H12*I12))/(H12+I12)</f>
        <v>0.74999999999999989</v>
      </c>
      <c r="K12">
        <f t="shared" si="3"/>
        <v>1</v>
      </c>
      <c r="L12">
        <v>10</v>
      </c>
      <c r="M12">
        <v>40</v>
      </c>
      <c r="N12">
        <f t="shared" si="4"/>
        <v>0.8</v>
      </c>
    </row>
    <row r="13" spans="1:14" x14ac:dyDescent="0.3">
      <c r="A13" t="s">
        <v>12</v>
      </c>
      <c r="B13" t="s">
        <v>36</v>
      </c>
      <c r="C13">
        <v>2</v>
      </c>
      <c r="D13">
        <v>0</v>
      </c>
      <c r="E13">
        <v>10</v>
      </c>
      <c r="F13">
        <v>113</v>
      </c>
      <c r="G13">
        <v>92</v>
      </c>
      <c r="H13">
        <f t="shared" si="0"/>
        <v>1</v>
      </c>
      <c r="I13">
        <f t="shared" si="1"/>
        <v>0.16666666666666666</v>
      </c>
      <c r="J13">
        <f t="shared" si="2"/>
        <v>0.2857142857142857</v>
      </c>
      <c r="K13">
        <f t="shared" si="3"/>
        <v>1</v>
      </c>
      <c r="L13">
        <v>0</v>
      </c>
      <c r="M13">
        <v>40</v>
      </c>
      <c r="N13">
        <f t="shared" si="4"/>
        <v>0.58333333333333337</v>
      </c>
    </row>
    <row r="14" spans="1:14" x14ac:dyDescent="0.3">
      <c r="A14" t="s">
        <v>13</v>
      </c>
      <c r="B14" t="s">
        <v>32</v>
      </c>
      <c r="C14">
        <v>144</v>
      </c>
      <c r="D14">
        <v>69</v>
      </c>
      <c r="E14">
        <v>358</v>
      </c>
      <c r="F14">
        <v>4948</v>
      </c>
      <c r="G14">
        <v>92.26309114</v>
      </c>
      <c r="H14">
        <f>(C14)/(C14+D14)</f>
        <v>0.676056338028169</v>
      </c>
      <c r="I14">
        <f>C14/(C14+E14)</f>
        <v>0.28685258964143429</v>
      </c>
      <c r="J14">
        <f t="shared" ref="J14" si="5">(2*(H14*I14))/(H14+I14)</f>
        <v>0.40279720279720288</v>
      </c>
      <c r="K14">
        <f t="shared" ref="K14" si="6">F14/(F14+D14)</f>
        <v>0.98624676101255726</v>
      </c>
      <c r="L14">
        <v>0</v>
      </c>
      <c r="M14">
        <v>40</v>
      </c>
      <c r="N14">
        <f t="shared" si="4"/>
        <v>0.6365496753269958</v>
      </c>
    </row>
    <row r="20" spans="1:6" x14ac:dyDescent="0.3">
      <c r="A20" t="s">
        <v>4</v>
      </c>
      <c r="B20">
        <v>97.619047620000003</v>
      </c>
      <c r="C20">
        <v>1</v>
      </c>
      <c r="D20">
        <v>0.75</v>
      </c>
      <c r="E20">
        <v>0.8571428571428571</v>
      </c>
      <c r="F20">
        <v>1</v>
      </c>
    </row>
    <row r="21" spans="1:6" x14ac:dyDescent="0.3">
      <c r="A21" t="s">
        <v>5</v>
      </c>
      <c r="B21">
        <v>92.452830188679201</v>
      </c>
      <c r="C21">
        <v>1</v>
      </c>
      <c r="D21">
        <v>0.2</v>
      </c>
      <c r="E21">
        <v>0.33333333333333337</v>
      </c>
      <c r="F21">
        <v>1</v>
      </c>
    </row>
    <row r="22" spans="1:6" x14ac:dyDescent="0.3">
      <c r="A22" t="s">
        <v>26</v>
      </c>
      <c r="B22">
        <v>99.128856619999993</v>
      </c>
      <c r="C22">
        <v>0.18181818181818182</v>
      </c>
      <c r="D22">
        <v>0.4</v>
      </c>
      <c r="E22">
        <v>0.25000000000000006</v>
      </c>
      <c r="F22">
        <v>0.99344262295081964</v>
      </c>
    </row>
    <row r="23" spans="1:6" x14ac:dyDescent="0.3">
      <c r="A23" t="s">
        <v>6</v>
      </c>
      <c r="B23">
        <v>99.900891972249696</v>
      </c>
      <c r="C23">
        <v>1</v>
      </c>
      <c r="D23">
        <v>0.95652173913043481</v>
      </c>
      <c r="E23">
        <v>0.97777777777777775</v>
      </c>
      <c r="F23">
        <v>1</v>
      </c>
    </row>
    <row r="24" spans="1:6" x14ac:dyDescent="0.3">
      <c r="A24" t="s">
        <v>7</v>
      </c>
      <c r="B24">
        <v>97.540983606557305</v>
      </c>
      <c r="C24">
        <v>1</v>
      </c>
      <c r="D24">
        <v>0.25</v>
      </c>
      <c r="E24">
        <v>0.4</v>
      </c>
      <c r="F24">
        <v>1</v>
      </c>
    </row>
    <row r="25" spans="1:6" x14ac:dyDescent="0.3">
      <c r="A25" t="s">
        <v>8</v>
      </c>
      <c r="B25">
        <v>94.059405940594004</v>
      </c>
      <c r="C25">
        <v>0.66666666666666663</v>
      </c>
      <c r="D25">
        <v>0.5</v>
      </c>
      <c r="E25">
        <v>0.57142857142857151</v>
      </c>
      <c r="F25">
        <v>0.978494623655914</v>
      </c>
    </row>
    <row r="26" spans="1:6" x14ac:dyDescent="0.3">
      <c r="A26" t="s">
        <v>9</v>
      </c>
      <c r="B26">
        <v>94.285714285714207</v>
      </c>
      <c r="C26">
        <v>1</v>
      </c>
      <c r="D26">
        <v>0.33333333333333331</v>
      </c>
      <c r="E26">
        <v>0.5</v>
      </c>
      <c r="F26">
        <v>1</v>
      </c>
    </row>
    <row r="27" spans="1:6" x14ac:dyDescent="0.3">
      <c r="A27" t="s">
        <v>10</v>
      </c>
      <c r="B27">
        <v>98.809523809523796</v>
      </c>
      <c r="C27">
        <v>1</v>
      </c>
      <c r="D27">
        <v>0.75</v>
      </c>
      <c r="E27">
        <v>0.8571428571428571</v>
      </c>
      <c r="F27">
        <v>1</v>
      </c>
    </row>
    <row r="28" spans="1:6" x14ac:dyDescent="0.3">
      <c r="A28" t="s">
        <v>11</v>
      </c>
      <c r="B28">
        <v>94.285714285714207</v>
      </c>
      <c r="C28">
        <v>1</v>
      </c>
      <c r="D28">
        <v>0.6</v>
      </c>
      <c r="E28">
        <v>0.74999999999999989</v>
      </c>
      <c r="F28">
        <v>1</v>
      </c>
    </row>
    <row r="29" spans="1:6" x14ac:dyDescent="0.3">
      <c r="A29" t="s">
        <v>12</v>
      </c>
      <c r="B29">
        <v>92</v>
      </c>
      <c r="C29">
        <v>1</v>
      </c>
      <c r="D29">
        <v>0.16666666666666666</v>
      </c>
      <c r="E29">
        <v>0.2857142857142857</v>
      </c>
      <c r="F29">
        <v>1</v>
      </c>
    </row>
    <row r="30" spans="1:6" x14ac:dyDescent="0.3">
      <c r="A30" t="s">
        <v>13</v>
      </c>
      <c r="B30">
        <v>92.26309114</v>
      </c>
      <c r="C30">
        <v>0.676056338028169</v>
      </c>
      <c r="D30">
        <v>0.28685258964143429</v>
      </c>
      <c r="E30">
        <v>0.40279720279720288</v>
      </c>
      <c r="F30">
        <v>0.98624676101255726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2025-01-29T01:13:17Z</dcterms:created>
  <dcterms:modified xsi:type="dcterms:W3CDTF">2025-03-25T13:36:54Z</dcterms:modified>
</cp:coreProperties>
</file>