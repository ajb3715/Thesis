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OneDrive\Documents\Thesis\IndirectBP\"/>
    </mc:Choice>
  </mc:AlternateContent>
  <xr:revisionPtr revIDLastSave="0" documentId="13_ncr:1_{AC8AC242-BF27-4E8E-B0F7-5C4E8CDC3BD4}" xr6:coauthVersionLast="47" xr6:coauthVersionMax="47" xr10:uidLastSave="{00000000-0000-0000-0000-000000000000}"/>
  <bookViews>
    <workbookView xWindow="-110" yWindow="-110" windowWidth="38620" windowHeight="21100" xr2:uid="{84A3B88E-B226-40B3-A64E-0FDCC502A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J7" i="1" s="1"/>
  <c r="I7" i="1"/>
  <c r="H6" i="1"/>
  <c r="I6" i="1"/>
  <c r="J6" i="1" s="1"/>
  <c r="K6" i="1"/>
  <c r="K7" i="1"/>
  <c r="H8" i="1"/>
  <c r="J8" i="1" s="1"/>
  <c r="I8" i="1"/>
  <c r="K8" i="1"/>
  <c r="H9" i="1"/>
  <c r="I9" i="1"/>
  <c r="J9" i="1" s="1"/>
  <c r="K9" i="1"/>
  <c r="H10" i="1"/>
  <c r="I10" i="1"/>
  <c r="J10" i="1" s="1"/>
  <c r="K10" i="1"/>
  <c r="H11" i="1"/>
  <c r="J11" i="1" s="1"/>
  <c r="I11" i="1"/>
  <c r="K11" i="1"/>
  <c r="H12" i="1"/>
  <c r="I12" i="1"/>
  <c r="J12" i="1"/>
  <c r="K12" i="1"/>
  <c r="H13" i="1"/>
  <c r="I13" i="1"/>
  <c r="J13" i="1"/>
  <c r="K13" i="1"/>
  <c r="H14" i="1"/>
  <c r="I14" i="1"/>
  <c r="J14" i="1" s="1"/>
  <c r="K14" i="1"/>
  <c r="I5" i="1"/>
  <c r="H4" i="1"/>
  <c r="I4" i="1"/>
  <c r="K4" i="1"/>
  <c r="H5" i="1"/>
  <c r="J5" i="1"/>
  <c r="K5" i="1"/>
  <c r="K3" i="1"/>
  <c r="I3" i="1"/>
  <c r="H3" i="1"/>
  <c r="J3" i="1" s="1"/>
  <c r="J4" i="1" l="1"/>
</calcChain>
</file>

<file path=xl/sharedStrings.xml><?xml version="1.0" encoding="utf-8"?>
<sst xmlns="http://schemas.openxmlformats.org/spreadsheetml/2006/main" count="31" uniqueCount="30">
  <si>
    <t>HalfCache</t>
  </si>
  <si>
    <t>Program</t>
  </si>
  <si>
    <t>Nu: 0.0002, Gamma: 0.9</t>
  </si>
  <si>
    <t>Blackscholes</t>
  </si>
  <si>
    <t>Bodytrack</t>
  </si>
  <si>
    <t>Canneal</t>
  </si>
  <si>
    <t>Facesim</t>
  </si>
  <si>
    <t>Ferret</t>
  </si>
  <si>
    <t>Freqmine</t>
  </si>
  <si>
    <t>Raytrace</t>
  </si>
  <si>
    <t>Streamcluster</t>
  </si>
  <si>
    <t>Swaptions</t>
  </si>
  <si>
    <t>Nu: 0.0001, Gamma: 0.0001</t>
  </si>
  <si>
    <t>Vips</t>
  </si>
  <si>
    <t>X264</t>
  </si>
  <si>
    <t>TP</t>
  </si>
  <si>
    <t>FP</t>
  </si>
  <si>
    <t>FN</t>
  </si>
  <si>
    <t>TN</t>
  </si>
  <si>
    <t>ACC (%)</t>
  </si>
  <si>
    <t>Noise Percantages</t>
  </si>
  <si>
    <t>Upsampling</t>
  </si>
  <si>
    <t>Precision</t>
  </si>
  <si>
    <t>Recall</t>
  </si>
  <si>
    <t>F1-Score</t>
  </si>
  <si>
    <t>Specificity</t>
  </si>
  <si>
    <t>Nu: 0.9, Gamma: 0.2</t>
  </si>
  <si>
    <t>NU and Gamma</t>
  </si>
  <si>
    <t>Dedup</t>
  </si>
  <si>
    <t>Nu: 0.2, Gamma: 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</si>
</sst>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E7E4-9A64-4328-97BF-22E9AA604A6A}">
  <dimension ref="A1:M14"/>
  <sheetViews>
    <sheetView tabSelected="1" zoomScale="175" zoomScaleNormal="175" workbookViewId="0">
      <selection activeCell="K17" sqref="K17"/>
    </sheetView>
  </sheetViews>
  <sheetFormatPr defaultRowHeight="14.5" x14ac:dyDescent="0.35"/>
  <cols>
    <col min="1" max="1" width="34.36328125" customWidth="1"/>
    <col min="2" max="2" width="29" customWidth="1"/>
    <col min="7" max="7" width="22.26953125" customWidth="1"/>
    <col min="11" max="11" width="14.7265625" customWidth="1"/>
  </cols>
  <sheetData>
    <row r="1" spans="1:13" x14ac:dyDescent="0.35">
      <c r="A1" t="s">
        <v>0</v>
      </c>
    </row>
    <row r="2" spans="1:13" x14ac:dyDescent="0.35">
      <c r="A2" t="s">
        <v>1</v>
      </c>
      <c r="B2" t="s">
        <v>27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22</v>
      </c>
      <c r="I2" t="s">
        <v>23</v>
      </c>
      <c r="J2" t="s">
        <v>24</v>
      </c>
      <c r="K2" t="s">
        <v>25</v>
      </c>
      <c r="L2" t="s">
        <v>20</v>
      </c>
      <c r="M2" t="s">
        <v>21</v>
      </c>
    </row>
    <row r="3" spans="1:13" x14ac:dyDescent="0.35">
      <c r="A3" t="s">
        <v>3</v>
      </c>
      <c r="B3" t="s">
        <v>26</v>
      </c>
      <c r="C3">
        <v>2</v>
      </c>
      <c r="D3">
        <v>0</v>
      </c>
      <c r="E3">
        <v>0</v>
      </c>
      <c r="F3">
        <v>14</v>
      </c>
      <c r="G3">
        <v>100</v>
      </c>
      <c r="H3">
        <f>(C3)/(C3+D3)</f>
        <v>1</v>
      </c>
      <c r="I3">
        <f>C3/(C3+E3)</f>
        <v>1</v>
      </c>
      <c r="J3">
        <f>(2*(H3*I3))/(H3+I3)</f>
        <v>1</v>
      </c>
      <c r="K3">
        <f>F3/(F3+D3)</f>
        <v>1</v>
      </c>
      <c r="L3">
        <v>0</v>
      </c>
      <c r="M3">
        <v>40</v>
      </c>
    </row>
    <row r="4" spans="1:13" x14ac:dyDescent="0.35">
      <c r="A4" t="s">
        <v>4</v>
      </c>
      <c r="B4" t="s">
        <v>2</v>
      </c>
      <c r="C4">
        <v>3</v>
      </c>
      <c r="D4">
        <v>1</v>
      </c>
      <c r="E4">
        <v>0</v>
      </c>
      <c r="F4">
        <v>39</v>
      </c>
      <c r="G4">
        <v>97.674418599999996</v>
      </c>
      <c r="H4">
        <f t="shared" ref="H4:H13" si="0">(C4)/(C4+D4)</f>
        <v>0.75</v>
      </c>
      <c r="I4">
        <f t="shared" ref="I4:I13" si="1">C4/(C4+E4)</f>
        <v>1</v>
      </c>
      <c r="J4">
        <f t="shared" ref="J4:J13" si="2">(2*(H4*I4))/(H4+I4)</f>
        <v>0.8571428571428571</v>
      </c>
      <c r="K4">
        <f t="shared" ref="K4:K13" si="3">F4/(F4+D4)</f>
        <v>0.97499999999999998</v>
      </c>
      <c r="L4">
        <v>0</v>
      </c>
      <c r="M4">
        <v>40</v>
      </c>
    </row>
    <row r="5" spans="1:13" x14ac:dyDescent="0.35">
      <c r="A5" t="s">
        <v>5</v>
      </c>
      <c r="B5" t="s">
        <v>12</v>
      </c>
      <c r="C5">
        <v>0</v>
      </c>
      <c r="D5">
        <v>6</v>
      </c>
      <c r="E5">
        <v>0</v>
      </c>
      <c r="F5">
        <v>49</v>
      </c>
      <c r="G5">
        <v>89.090909089999997</v>
      </c>
      <c r="H5">
        <f t="shared" si="0"/>
        <v>0</v>
      </c>
      <c r="I5" t="e">
        <f>C5/(C5+E5)</f>
        <v>#DIV/0!</v>
      </c>
      <c r="J5" t="e">
        <f t="shared" si="2"/>
        <v>#DIV/0!</v>
      </c>
      <c r="K5">
        <f t="shared" si="3"/>
        <v>0.89090909090909087</v>
      </c>
      <c r="L5">
        <v>0</v>
      </c>
      <c r="M5">
        <v>40</v>
      </c>
    </row>
    <row r="6" spans="1:13" x14ac:dyDescent="0.35">
      <c r="A6" t="s">
        <v>28</v>
      </c>
      <c r="B6" t="s">
        <v>12</v>
      </c>
      <c r="C6">
        <v>0</v>
      </c>
      <c r="D6">
        <v>10</v>
      </c>
      <c r="E6">
        <v>0</v>
      </c>
      <c r="F6">
        <v>2746</v>
      </c>
      <c r="G6">
        <v>99.637155300000003</v>
      </c>
      <c r="H6">
        <f t="shared" si="0"/>
        <v>0</v>
      </c>
      <c r="I6" t="e">
        <f t="shared" ref="I6:I7" si="4">C6/(C6+E6)</f>
        <v>#DIV/0!</v>
      </c>
      <c r="J6" t="e">
        <f t="shared" si="2"/>
        <v>#DIV/0!</v>
      </c>
      <c r="K6">
        <f t="shared" si="3"/>
        <v>0.99637155297532654</v>
      </c>
      <c r="L6">
        <v>0</v>
      </c>
      <c r="M6">
        <v>40</v>
      </c>
    </row>
    <row r="7" spans="1:13" x14ac:dyDescent="0.35">
      <c r="A7" t="s">
        <v>6</v>
      </c>
      <c r="B7" t="s">
        <v>29</v>
      </c>
      <c r="C7">
        <v>23</v>
      </c>
      <c r="D7">
        <v>1</v>
      </c>
      <c r="E7">
        <v>0</v>
      </c>
      <c r="F7">
        <v>987</v>
      </c>
      <c r="G7">
        <v>99.901088031651796</v>
      </c>
      <c r="H7">
        <f t="shared" si="0"/>
        <v>0.95833333333333337</v>
      </c>
      <c r="I7">
        <f t="shared" si="4"/>
        <v>1</v>
      </c>
      <c r="J7">
        <f t="shared" ref="J7:J14" si="5">(2*(H7*I7))/(H7+I7)</f>
        <v>0.97872340425531912</v>
      </c>
      <c r="K7">
        <f t="shared" ref="K7:K14" si="6">F7/(F7+D7)</f>
        <v>0.99898785425101211</v>
      </c>
      <c r="L7">
        <v>10</v>
      </c>
      <c r="M7">
        <v>40</v>
      </c>
    </row>
    <row r="8" spans="1:13" x14ac:dyDescent="0.35">
      <c r="A8" t="s">
        <v>7</v>
      </c>
      <c r="H8" t="e">
        <f t="shared" ref="H7:H14" si="7">(C8)/(C8+D8)</f>
        <v>#DIV/0!</v>
      </c>
      <c r="I8" t="e">
        <f t="shared" ref="I7:I14" si="8">C8/(C8+E8)</f>
        <v>#DIV/0!</v>
      </c>
      <c r="J8" t="e">
        <f t="shared" si="5"/>
        <v>#DIV/0!</v>
      </c>
      <c r="K8" t="e">
        <f t="shared" si="6"/>
        <v>#DIV/0!</v>
      </c>
    </row>
    <row r="9" spans="1:13" x14ac:dyDescent="0.35">
      <c r="A9" t="s">
        <v>8</v>
      </c>
      <c r="H9" t="e">
        <f t="shared" si="7"/>
        <v>#DIV/0!</v>
      </c>
      <c r="I9" t="e">
        <f t="shared" si="8"/>
        <v>#DIV/0!</v>
      </c>
      <c r="J9" t="e">
        <f t="shared" si="5"/>
        <v>#DIV/0!</v>
      </c>
      <c r="K9" t="e">
        <f t="shared" si="6"/>
        <v>#DIV/0!</v>
      </c>
    </row>
    <row r="10" spans="1:13" x14ac:dyDescent="0.35">
      <c r="A10" t="s">
        <v>9</v>
      </c>
      <c r="H10" t="e">
        <f t="shared" si="7"/>
        <v>#DIV/0!</v>
      </c>
      <c r="I10" t="e">
        <f>C10/(C10+E10)</f>
        <v>#DIV/0!</v>
      </c>
      <c r="J10" t="e">
        <f>(2*(H10*I10))/(H10+I10)</f>
        <v>#DIV/0!</v>
      </c>
      <c r="K10" t="e">
        <f t="shared" si="6"/>
        <v>#DIV/0!</v>
      </c>
    </row>
    <row r="11" spans="1:13" x14ac:dyDescent="0.35">
      <c r="A11" t="s">
        <v>10</v>
      </c>
      <c r="H11" t="e">
        <f t="shared" si="7"/>
        <v>#DIV/0!</v>
      </c>
      <c r="I11" t="e">
        <f t="shared" ref="I11:I14" si="9">C11/(C11+E11)</f>
        <v>#DIV/0!</v>
      </c>
      <c r="J11" t="e">
        <f t="shared" ref="J11:J14" si="10">(2*(H11*I11))/(H11+I11)</f>
        <v>#DIV/0!</v>
      </c>
      <c r="K11" t="e">
        <f t="shared" si="6"/>
        <v>#DIV/0!</v>
      </c>
    </row>
    <row r="12" spans="1:13" x14ac:dyDescent="0.35">
      <c r="A12" t="s">
        <v>11</v>
      </c>
      <c r="H12" t="e">
        <f t="shared" si="7"/>
        <v>#DIV/0!</v>
      </c>
      <c r="I12" t="e">
        <f t="shared" si="9"/>
        <v>#DIV/0!</v>
      </c>
      <c r="J12" t="e">
        <f t="shared" si="10"/>
        <v>#DIV/0!</v>
      </c>
      <c r="K12" t="e">
        <f t="shared" si="6"/>
        <v>#DIV/0!</v>
      </c>
    </row>
    <row r="13" spans="1:13" x14ac:dyDescent="0.35">
      <c r="A13" t="s">
        <v>13</v>
      </c>
      <c r="H13" t="e">
        <f t="shared" si="7"/>
        <v>#DIV/0!</v>
      </c>
      <c r="I13" t="e">
        <f t="shared" si="9"/>
        <v>#DIV/0!</v>
      </c>
      <c r="J13" t="e">
        <f t="shared" si="10"/>
        <v>#DIV/0!</v>
      </c>
      <c r="K13" t="e">
        <f t="shared" si="6"/>
        <v>#DIV/0!</v>
      </c>
    </row>
    <row r="14" spans="1:13" x14ac:dyDescent="0.35">
      <c r="A14" t="s">
        <v>14</v>
      </c>
      <c r="H14" t="e">
        <f t="shared" si="7"/>
        <v>#DIV/0!</v>
      </c>
      <c r="I14" t="e">
        <f t="shared" si="9"/>
        <v>#DIV/0!</v>
      </c>
      <c r="J14" t="e">
        <f t="shared" si="10"/>
        <v>#DIV/0!</v>
      </c>
      <c r="K14" t="e">
        <f t="shared" si="6"/>
        <v>#DIV/0!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 (RIT Student)</dc:creator>
  <cp:lastModifiedBy>Alex Beekman (RIT Student)</cp:lastModifiedBy>
  <dcterms:created xsi:type="dcterms:W3CDTF">2025-01-29T01:13:17Z</dcterms:created>
  <dcterms:modified xsi:type="dcterms:W3CDTF">2025-02-13T02:21:18Z</dcterms:modified>
</cp:coreProperties>
</file>